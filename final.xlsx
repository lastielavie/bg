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hidePivotFieldList="1"/>
  <mc:AlternateContent xmlns:mc="http://schemas.openxmlformats.org/markup-compatibility/2006">
    <mc:Choice Requires="x15">
      <x15ac:absPath xmlns:x15ac="http://schemas.microsoft.com/office/spreadsheetml/2010/11/ac" url="C:\Users\Lenovo\Documents\MEGA\3. BAGI HASIL\8. Agustus\"/>
    </mc:Choice>
  </mc:AlternateContent>
  <xr:revisionPtr revIDLastSave="0" documentId="13_ncr:1_{45D1CEDE-A95B-4D70-94F7-D137E5BD2865}" xr6:coauthVersionLast="45" xr6:coauthVersionMax="47" xr10:uidLastSave="{00000000-0000-0000-0000-000000000000}"/>
  <bookViews>
    <workbookView xWindow="-120" yWindow="-120" windowWidth="20730" windowHeight="11040" firstSheet="1" activeTab="2" xr2:uid="{00000000-000D-0000-FFFF-FFFF00000000}"/>
  </bookViews>
  <sheets>
    <sheet name="Sheet new" sheetId="41" state="hidden" r:id="rId1"/>
    <sheet name="RAW" sheetId="54" r:id="rId2"/>
    <sheet name="FINAL" sheetId="5" r:id="rId3"/>
  </sheets>
  <definedNames>
    <definedName name="_1157AC_2_2">"$#REF!.$#REF!$#REF!"</definedName>
    <definedName name="_1198AC_3_4">"$#REF!.$#REF!$#REF!"</definedName>
    <definedName name="_1239AC_4_6">"$#REF!.$#REF!$#REF!"</definedName>
    <definedName name="_1742admin_2_1">"$#REF!.$I$3:$I$4"</definedName>
    <definedName name="_1744admin_3_2">"$#REF!.$I$3:$I$4"</definedName>
    <definedName name="_2836AO_2_2">"$#REF!.$#REF!$#REF!"</definedName>
    <definedName name="_2877AO_3_4">"$#REF!.$#REF!$#REF!"</definedName>
    <definedName name="_2918AO_4_6">"$#REF!.$#REF!$#REF!"</definedName>
    <definedName name="_3515DATE_2_2">"$#REF!.$A$24"</definedName>
    <definedName name="_3521DATE_3_4">"$#REF!.$A$24"</definedName>
    <definedName name="_3527DATE_4_6">"$#REF!.$A$24"</definedName>
    <definedName name="_3649engineering_2_1">"$#REF!.$E$3:$E$4"</definedName>
    <definedName name="_3651engineering_3_2">"$#REF!.$E$3:$E$4"</definedName>
    <definedName name="_3681Excel_BuiltIn_Database_1">"$#REF!.$B$6:$G$30"</definedName>
    <definedName name="_3819GOL_2_2">"$#REF!.$H$7"</definedName>
    <definedName name="_3825GOL_3_4">"$#REF!.$H$7"</definedName>
    <definedName name="_3831GOL_4_6">"$#REF!.$H$7"</definedName>
    <definedName name="_4025HULAIMI_2_2">"$#REF!.$I$109"</definedName>
    <definedName name="_4031HULAIMI_3_4">"$#REF!.$I$109"</definedName>
    <definedName name="_4606MRAJAK_2_1">"'file://Talafspu401/ccr/Data Induk Prod.Dept/Bonus produksi/3.Incentive KPP/01.Master.xls'#$Master.$#REF!$#REF!"</definedName>
    <definedName name="_5343PC_2_1">"$#REF!.$#REF!$#REF!"</definedName>
    <definedName name="_6080PO_2_1">"$#REF!.$#REF!$#REF!"</definedName>
    <definedName name="_6369PROD_2_1">"$#REF!.$I$47"</definedName>
    <definedName name="_63a_2_1">"$#REF!.$A$3:$E$425"</definedName>
    <definedName name="_6462Tarif_2_1">"$#REF!.$C$48:$D$55"</definedName>
    <definedName name="_65a_3_2">"$#REF!.$A$3:$E$425"</definedName>
    <definedName name="_7003TRF_2_1">"'file://Talafspu401/ccr/Data Induk Prod.Dept/Bonus produksi/3.Incentive KPP/06.Desember.xls'#$'Master '.$#REF!$#REF!:$#REF!$#REF!"</definedName>
    <definedName name="_xlnm._FilterDatabase" localSheetId="1" hidden="1">RAW!$A$4:$AH$13</definedName>
    <definedName name="a_1">"$#REF!.$A$3:$E$425"</definedName>
    <definedName name="a_1_1">"$#REF!.$A$3:$E$425"</definedName>
    <definedName name="a_2">"$#REF!.$A$3:$E$425"</definedName>
    <definedName name="a_2_1">"$#REF!.$A$3:$E$425"</definedName>
    <definedName name="a_3">"$#REF!.$A$3:$E$425"</definedName>
    <definedName name="a_3_2">"$#REF!.$A$3:$E$425"</definedName>
    <definedName name="aa">"'file://Talafspu401/ccr/Data Induk Prod.Dept/Bonus produksi/3.Incentive KPP/01.Master.xls'#$Master.$#REF!$#REF!"</definedName>
    <definedName name="AC">"$#REF!.$#REF!$#REF!"</definedName>
    <definedName name="AC_1">"$#REF!.$#REF!$#REF!"</definedName>
    <definedName name="AC_1_1">"$#REF!.$#REF!$#REF!"</definedName>
    <definedName name="AC_2">"$#REF!.$#REF!$#REF!"</definedName>
    <definedName name="AC_2_1">"$#REF!.$#REF!$#REF!"</definedName>
    <definedName name="AC_2_2">"$#REF!.$#REF!$#REF!"</definedName>
    <definedName name="AC_3">"$#REF!.$#REF!$#REF!"</definedName>
    <definedName name="AC_3_4">"$#REF!.$#REF!$#REF!"</definedName>
    <definedName name="AC_4">"$#REF!.$#REF!$#REF!"</definedName>
    <definedName name="AC_4_6">"$#REF!.$#REF!$#REF!"</definedName>
    <definedName name="admin">"$#REF!.$I$3:$I$4"</definedName>
    <definedName name="admin_1">"$#REF!.$I$3:$I$4"</definedName>
    <definedName name="admin_1_1">"$#REF!.$I$3:$I$4"</definedName>
    <definedName name="admin_2">"$#REF!.$I$3:$I$4"</definedName>
    <definedName name="admin_2_1">"$#REF!.$I$3:$I$4"</definedName>
    <definedName name="admin_3">"$#REF!.$I$3:$I$4"</definedName>
    <definedName name="admin_3_2">"$#REF!.$I$3:$I$4"</definedName>
    <definedName name="anscount" hidden="1">1</definedName>
    <definedName name="AO">"$#REF!.$#REF!$#REF!"</definedName>
    <definedName name="AO_1">"$#REF!.$#REF!$#REF!"</definedName>
    <definedName name="AO_1_1">"$#REF!.$#REF!$#REF!"</definedName>
    <definedName name="AO_2">"$#REF!.$#REF!$#REF!"</definedName>
    <definedName name="AO_2_1">"$#REF!.$#REF!$#REF!"</definedName>
    <definedName name="AO_2_2">"$#REF!.$#REF!$#REF!"</definedName>
    <definedName name="AO_3">"$#REF!.$#REF!$#REF!"</definedName>
    <definedName name="AO_3_4">"$#REF!.$#REF!$#REF!"</definedName>
    <definedName name="AO_4">"$#REF!.$#REF!$#REF!"</definedName>
    <definedName name="AO_4_6">"$#REF!.$#REF!$#REF!"</definedName>
    <definedName name="B_PN1">"$#REF!.$#REF!$#REF!:$#REF!$#REF!"</definedName>
    <definedName name="B_PN1_10">"$#REF!.$#REF!$#REF!:$#REF!$#REF!"</definedName>
    <definedName name="B_PN2">"$#REF!.$#REF!$#REF!:$#REF!$#REF!"</definedName>
    <definedName name="B_PN2_10">"$#REF!.$#REF!$#REF!:$#REF!$#REF!"</definedName>
    <definedName name="B_PN3">"$#REF!.$#REF!$#REF!:$#REF!$#REF!"</definedName>
    <definedName name="B_PN3_10">"$#REF!.$#REF!$#REF!:$#REF!$#REF!"</definedName>
    <definedName name="B_SD">"$#REF!.$#REF!$#REF!:$#REF!$#REF!"</definedName>
    <definedName name="B_SD_10">"$#REF!.$#REF!$#REF!:$#REF!$#REF!"</definedName>
    <definedName name="CPTBA">"'file://15510ahyar/engineering/YanS/Worksohop Asam/Activity Cost 2004 2005.xls'#$TABLE.$#REF!$#REF!:$#REF!$#REF!"</definedName>
    <definedName name="CPTBA_10">"'file://15510ahyar/engineering/YanS/Worksohop Asam/Activity Cost 2004 2005.xls'#$TABLE.$#REF!$#REF!:$#REF!$#REF!"</definedName>
    <definedName name="data_clear">"$#REF!.$AN$277:$AO$300"</definedName>
    <definedName name="data_clear_10">"$#REF!.$AN$277:$AO$300"</definedName>
    <definedName name="data_coal">"$#REF!.$AG$277:$AH$300"</definedName>
    <definedName name="data_coal_10">"$#REF!.$AG$277:$AH$300"</definedName>
    <definedName name="data_dump">"$#REF!.$AT$277:$AU$298"</definedName>
    <definedName name="data_dump_10">"$#REF!.$AT$277:$AU$298"</definedName>
    <definedName name="data_ob">"$#REF!.$Z$277:$AA$300"</definedName>
    <definedName name="data_ob_10">"$#REF!.$Z$277:$AA$300"</definedName>
    <definedName name="data_rom">"$#REF!.$AV$277:$AW$298"</definedName>
    <definedName name="data_rom_10">"$#REF!.$AV$277:$AW$298"</definedName>
    <definedName name="Data_sample">"$#REF!.$AP$277:$AQ$300"</definedName>
    <definedName name="Data_sample_10">"$#REF!.$AP$277:$AQ$300"</definedName>
    <definedName name="data_step">"$#REF!.$AR$277:$AS$284"</definedName>
    <definedName name="data_step_10">"$#REF!.$AR$277:$AS$284"</definedName>
    <definedName name="DATE_1">"$#REF!.$A$24"</definedName>
    <definedName name="DATE_1_1">"$#REF!.$A$24"</definedName>
    <definedName name="DATE_2">"$#REF!.$A$24"</definedName>
    <definedName name="DATE_2_1">"$#REF!.$A$24"</definedName>
    <definedName name="DATE_2_2">"$#REF!.$A$24"</definedName>
    <definedName name="DATE_3">"$#REF!.$A$24"</definedName>
    <definedName name="DATE_3_4">"$#REF!.$A$24"</definedName>
    <definedName name="DATE_4">"$#REF!.$A$24"</definedName>
    <definedName name="DATE_4_6">"$#REF!.$A$24"</definedName>
    <definedName name="DEPARTEMENTAL_COSTING_ON_MARCH_99">"MCOST1"</definedName>
    <definedName name="Dump">"$#REF!.$L$17:$M$41"</definedName>
    <definedName name="Dump_10">"$#REF!.$L$17:$M$41"</definedName>
    <definedName name="engineering">"$#REF!.$E$3:$E$4"</definedName>
    <definedName name="engineering_1">"$#REF!.$E$3:$E$4"</definedName>
    <definedName name="engineering_1_1">"$#REF!.$E$3:$E$4"</definedName>
    <definedName name="engineering_2">"$#REF!.$E$3:$E$4"</definedName>
    <definedName name="engineering_2_1">"$#REF!.$E$3:$E$4"</definedName>
    <definedName name="engineering_3">"$#REF!.$E$3:$E$4"</definedName>
    <definedName name="engineering_3_2">"$#REF!.$E$3:$E$4"</definedName>
    <definedName name="Excel_BuiltIn_Database_1">"$#REF!.$B$6:$G$30"</definedName>
    <definedName name="Excel_BuiltIn_Database_1_1">"$#REF!.$B$6:$G$30"</definedName>
    <definedName name="Excel_BuiltIn_Database_1_1_1">"$#REF!.$B$6:$G$30"</definedName>
    <definedName name="Excel_BuiltIn_Database_2">"$#REF!.$B$6:$G$30"</definedName>
    <definedName name="Excel_BuiltIn_Database_3">"$#REF!.$B$6:$G$30"</definedName>
    <definedName name="Excel_BuiltIn_Print_Area_1">"$Tyre.$#REF!$#REF!:$#REF!$#REF!"</definedName>
    <definedName name="Excel_BuiltIn_Print_Area_1_1_1_1_1">"$#REF!.$A$1:$B$38"</definedName>
    <definedName name="Excel_BuiltIn_Print_Area_1_1_1_1_1_1">"$#REF!.$A$1:$B$38"</definedName>
    <definedName name="Excel_BuiltIn_Print_Area_1_1_1_1_1_1_1">"$#REF!.$A$1:$AC$54"</definedName>
    <definedName name="Excel_BuiltIn_Print_Area_1_1_1_1_1_1_1_1">"$#REF!.$A$1:$AG$54;$#REF!.$A$1:$Q$54"</definedName>
    <definedName name="Excel_BuiltIn_Print_Area_1_1_1_1_1_1_1_1_1">"$#REF!.$A$1:$AG$54;$#REF!.$A$1:$Q$54"</definedName>
    <definedName name="Excel_BuiltIn_Print_Area_1_1_1_1_1_1_1_1_1_1">"$#REF!.$A$1:$AG$54"</definedName>
    <definedName name="Excel_BuiltIn_Print_Area_1_1_1_1_1_1_1_1_1_1_1">"$#REF!.$A$1:$Q$54"</definedName>
    <definedName name="Excel_BuiltIn_Print_Area_1_1_1_1_1_1_1_1_1_1_1_1">"$#REF!.$A$1:$AC$54"</definedName>
    <definedName name="Excel_BuiltIn_Print_Area_1_1_1_1_1_1_1_1_1_1_1_1_1">"$#REF!.$A$1:$Z$54"</definedName>
    <definedName name="Excel_BuiltIn_Print_Area_1_1_1_1_1_1_1_1_1_1_1_1_1_1">"$#REF!.$A$1:$AC$55"</definedName>
    <definedName name="Excel_BuiltIn_Print_Area_1_1_1_1_1_1_1_1_1_1_1_1_1_1_1">"$#REF!.$A$1:$B$54"</definedName>
    <definedName name="Excel_BuiltIn_Print_Area_1_1_1_1_1_1_1_1_1_1_1_1_1_1_1_1">"$#REF!.$A$1:$Q$55"</definedName>
    <definedName name="Excel_BuiltIn_Print_Area_1_1_1_1_1_1_1_1_1_1_1_1_1_1_1_1_1">"$#REF!.$A$1:$B$54"</definedName>
    <definedName name="Excel_BuiltIn_Print_Area_1_1_1_1_1_1_1_1_1_1_1_1_1_1_1_1_1_1">"$#REF!.$A$1:$B$57"</definedName>
    <definedName name="Excel_BuiltIn_Print_Area_1_1_1_1_1_1_1_1_1_1_1_1_1_1_1_1_1_1_1">"$#REF!.$A$1:$B$57"</definedName>
    <definedName name="Excel_BuiltIn_Print_Area_1_1_1_1_1_1_1_1_1_1_1_1_1_1_1_1_1_1_1_1">"$#REF!.$A$1:$B$57"</definedName>
    <definedName name="Excel_BuiltIn_Print_Area_1_1_1_1_1_1_1_1_1_1_1_1_1_1_1_1_1_1_1_1_1">"$#REF!.$A$1:$B$57"</definedName>
    <definedName name="Excel_BuiltIn_Print_Area_1_1_1_1_1_1_1_1_1_1_1_1_1_1_1_1_1_1_1_1_1_1">"$#REF!.$A$1:$B$38"</definedName>
    <definedName name="Excel_BuiltIn_Print_Area_2">"$Incident.$#REF!$#REF!:$#REF!$#REF!"</definedName>
    <definedName name="Excel_BuiltIn_Print_Area_2_1">"$Incident.$#REF!$#REF!:$#REF!$#REF!"</definedName>
    <definedName name="Excel_BuiltIn_Print_Area_2_1_1_1_1">"$#REF!.$A$1:$I$55"</definedName>
    <definedName name="Excel_BuiltIn_Print_Area_2_1_1_1_1_1">"$#REF!.$A$1:$I$51"</definedName>
    <definedName name="Excel_BuiltIn_Print_Area_2_1_1_1_1_1_1">"$#REF!.$A$1:$Q$55"</definedName>
    <definedName name="Excel_BuiltIn_Print_Area_2_1_1_1_1_1_1_1">"$#REF!.$A$1:$I$54"</definedName>
    <definedName name="Excel_BuiltIn_Print_Area_2_1_3">"$#REF!.$#REF!$#REF!:$#REF!$#REF!"</definedName>
    <definedName name="Excel_BuiltIn_Print_Area_2_1_4">"$#REF!.$A$1:$B$54"</definedName>
    <definedName name="Excel_BuiltIn_Print_Area_3_1">"$Schedule.$#REF!$#REF!:$#REF!$#REF!"</definedName>
    <definedName name="Excel_BuiltIn_Print_Area_3_1_1_1_1_1">"$#REF!.$A$1:$B$36"</definedName>
    <definedName name="Excel_BuiltIn_Print_Area_4">"$Unschedule.$#REF!$#REF!:$#REF!$#REF!"</definedName>
    <definedName name="Excel_BuiltIn_Print_Area_4_1_1_1">"$#REF!.$A$1:$I$51"</definedName>
    <definedName name="Excel_BuiltIn_Print_Area_4_1_1_1_1">"$#REF!.$A$1:$Q$57"</definedName>
    <definedName name="Excel_BuiltIn_Print_Area_4_1_1_1_1_1">"$#REF!.$A$1:$B$55"</definedName>
    <definedName name="Excel_BuiltIn_Print_Area_4_1_1_1_1_1_1">"$#REF!.$A$1:$B$54"</definedName>
    <definedName name="Excel_BuiltIn_Print_Area_5">"$CANCEL.$#REF!$#REF!:$#REF!$#REF!"</definedName>
    <definedName name="Excel_BuiltIn_Print_Area_5_1_1_1">"$#REF!.$A$1:$IT$65531"</definedName>
    <definedName name="Excel_BuiltIn_Print_Area_5_1_1_1_1">"$#REF!.$A$1:$I$52"</definedName>
    <definedName name="Excel_BuiltIn_Print_Area_5_1_1_1_1_1">"$#REF!.$A$1:$K$57"</definedName>
    <definedName name="Excel_BuiltIn_Print_Area_5_1_1_1_1_1_1">"$#REF!.$A$1:$I$57"</definedName>
    <definedName name="Excel_BuiltIn_Print_Area_5_1_1_1_1_1_1_1">"$#REF!.$A$1:$B$57"</definedName>
    <definedName name="Excel_BuiltIn_Print_Area_6">"$'PIT STOP'.$#REF!$#REF!:$#REF!$#REF!"</definedName>
    <definedName name="Excel_BuiltIn_Print_Area_6_1">"$#REF!.$#REF!$#REF!:$#REF!$#REF!"</definedName>
    <definedName name="Excel_BuiltIn_Print_Area_6_1_1">"$#REF!.$A$1:$I$51"</definedName>
    <definedName name="Excel_BuiltIn_Print_Area_6_1_1_1">"$#REF!.$A$1:$K$57"</definedName>
    <definedName name="Excel_BuiltIn_Print_Area_6_1_1_1_1">"$#REF!.$A$1:$I$57"</definedName>
    <definedName name="Excel_BuiltIn_Print_Area_7">"$#REF!.$#REF!$#REF!:$#REF!$#REF!"</definedName>
    <definedName name="Excel_BuiltIn_Print_Area_7_1_1">"$#REF!.$A$1:$I$54"</definedName>
    <definedName name="Excel_BuiltIn_Print_Area_7_1_1_1">"$#REF!.$A$1:$I$57"</definedName>
    <definedName name="Excel_BuiltIn_Print_Area_7_1_1_1_1">"$#REF!.$A$1:$I$54"</definedName>
    <definedName name="Excel_BuiltIn_Print_Area_8">"$#REF!.$#REF!$#REF!:$#REF!$#REF!"</definedName>
    <definedName name="Excel_BuiltIn_Print_Area_9">"$#REF!.$#REF!$#REF!:$#REF!$#REF!"</definedName>
    <definedName name="Excel_BuiltIn_Print_Titles_1">"$#REF!.$A$2:$IV$3"</definedName>
    <definedName name="Excel_BuiltIn_Print_Titles_1_1">"$#REF!.$A$2:$IV$3"</definedName>
    <definedName name="FP">"'file:///C:/Documents and Settings/HARI YUSUF/Desktop/Data Produksi/Bonus produksi/4.Incentive PAMA/Feb 06.xls'#$Data.$#REF!$#REF!:$#REF!$#REF!"</definedName>
    <definedName name="FP_1">"'file:///C:/Documents and Settings/HARI YUSUF/Desktop/Data Produksi/Bonus produksi/4.Incentive PAMA/Feb 06.xls'#$Data.$#REF!$#REF!:$#REF!$#REF!"</definedName>
    <definedName name="FP_2">"'file:///C:/Documents and Settings/HARI YUSUF/Desktop/Data Produksi/Bonus produksi/4.Incentive PAMA/Feb 06.xls'#$Data.$#REF!$#REF!:$#REF!$#REF!"</definedName>
    <definedName name="FP_6">"'file:///N:/Documents and Settings/HARI YUSUF/Desktop/Data Produksi/Bonus produksi/4.Incentive PAMA/05.Nov.xls'#$Data.$#REF!$#REF!:$#REF!$#REF!"</definedName>
    <definedName name="GOL">"$#REF!.$H$7"</definedName>
    <definedName name="GOL_1">"$#REF!.$H$7"</definedName>
    <definedName name="GOL_1_1">"$#REF!.$H$7"</definedName>
    <definedName name="GOL_2">"$#REF!.$H$7"</definedName>
    <definedName name="GOL_2_1">"$#REF!.$H$7"</definedName>
    <definedName name="GOL_2_2">"$#REF!.$H$7"</definedName>
    <definedName name="GOL_3">"$#REF!.$H$7"</definedName>
    <definedName name="GOL_3_4">"$#REF!.$H$7"</definedName>
    <definedName name="GOL_4">"$#REF!.$H$7"</definedName>
    <definedName name="GOL_4_6">"$#REF!.$H$7"</definedName>
    <definedName name="HULAIMI">"$#REF!.$I$109"</definedName>
    <definedName name="HULAIMI_1">"$#REF!.$I$109"</definedName>
    <definedName name="HULAIMI_1_1">"$#REF!.$I$109"</definedName>
    <definedName name="HULAIMI_2">"$#REF!.$I$109"</definedName>
    <definedName name="HULAIMI_2_1">"$#REF!.$I$109"</definedName>
    <definedName name="HULAIMI_2_2">"$#REF!.$I$109"</definedName>
    <definedName name="HULAIMI_3">"$#REF!.$I$109"</definedName>
    <definedName name="HULAIMI_3_4">"$#REF!.$I$109"</definedName>
    <definedName name="JR_PAGE_ANCHOR_0_1">#REF!</definedName>
    <definedName name="limcount" hidden="1">1</definedName>
    <definedName name="MRAJAK">"'file://Talafspu401/ccr/Data Induk Prod.Dept/Bonus produksi/3.Incentive KPP/01.Master.xls'#$Master.$#REF!$#REF!"</definedName>
    <definedName name="MRAJAK_1">"'file://Talafspu401/ccr/Data Induk Prod.Dept/Bonus produksi/3.Incentive KPP/01.Master.xls'#$Master.$#REF!$#REF!"</definedName>
    <definedName name="MRAJAK_1_1">"'file://Talafspu401/ccr/Data Induk Prod.Dept/Bonus produksi/3.Incentive KPP/01.Master.xls'#$Master.$#REF!$#REF!"</definedName>
    <definedName name="MRAJAK_2">"'file://Talafspu401/ccr/Data Induk Prod.Dept/Bonus produksi/3.Incentive KPP/01.Master.xls'#$Master.$#REF!$#REF!"</definedName>
    <definedName name="MRAJAK_2_1">"'file://Talafspu401/ccr/Data Induk Prod.Dept/Bonus produksi/3.Incentive KPP/01.Master.xls'#$Master.$#REF!$#REF!"</definedName>
    <definedName name="MRAJAK_6_5">"'file:///N:/Data Induk Prod.Dept/Bonus produksi/3.Incentive KPP/01.Master.xls'#$Master.$#REF!$#REF!"</definedName>
    <definedName name="NB_PN1">"$#REF!.$#REF!$#REF!:$#REF!$#REF!"</definedName>
    <definedName name="NB_PN1_10">"$#REF!.$#REF!$#REF!:$#REF!$#REF!"</definedName>
    <definedName name="NB_PN2">"$#REF!.$#REF!$#REF!:$#REF!$#REF!"</definedName>
    <definedName name="NB_PN2_10">"$#REF!.$#REF!$#REF!:$#REF!$#REF!"</definedName>
    <definedName name="NB_PN3">"$#REF!.$#REF!$#REF!:$#REF!$#REF!"</definedName>
    <definedName name="NB_PN3_10">"$#REF!.$#REF!$#REF!:$#REF!$#REF!"</definedName>
    <definedName name="NB_SD">"$#REF!.$#REF!$#REF!:$#REF!$#REF!"</definedName>
    <definedName name="NB_SD_10">"$#REF!.$#REF!$#REF!:$#REF!$#REF!"</definedName>
    <definedName name="NS_PN1">"$#REF!.$#REF!$#REF!:$#REF!$#REF!"</definedName>
    <definedName name="NS_PN1_10">"$#REF!.$#REF!$#REF!:$#REF!$#REF!"</definedName>
    <definedName name="NS_PN2">"$#REF!.$#REF!$#REF!:$#REF!$#REF!"</definedName>
    <definedName name="NS_PN2_10">"$#REF!.$#REF!$#REF!:$#REF!$#REF!"</definedName>
    <definedName name="NS_PN3">"$#REF!.$#REF!$#REF!:$#REF!$#REF!"</definedName>
    <definedName name="NS_PN3_10">"$#REF!.$#REF!$#REF!:$#REF!$#REF!"</definedName>
    <definedName name="NS_SD">"$#REF!.$#REF!$#REF!:$#REF!$#REF!"</definedName>
    <definedName name="NS_SD_10">"$#REF!.$#REF!$#REF!:$#REF!$#REF!"</definedName>
    <definedName name="OBBr">"$#REF!.$D$7:$E$22"</definedName>
    <definedName name="PC">"$#REF!.$#REF!$#REF!"</definedName>
    <definedName name="PC_1">"$#REF!.$#REF!$#REF!"</definedName>
    <definedName name="PC_1_1">"$#REF!.$#REF!$#REF!"</definedName>
    <definedName name="PC_2">"$#REF!.$#REF!$#REF!"</definedName>
    <definedName name="PC_2_1">"$#REF!.$#REF!$#REF!"</definedName>
    <definedName name="PIT">"$#REF!.$#REF!$#REF!:$#REF!$#REF!"</definedName>
    <definedName name="PIT_10">"$#REF!.$#REF!$#REF!:$#REF!$#REF!"</definedName>
    <definedName name="plant">"$#REF!.$C$3:$C$4"</definedName>
    <definedName name="plant_1">"$#REF!.$C$3:$C$4"</definedName>
    <definedName name="PO">"$#REF!.$#REF!$#REF!"</definedName>
    <definedName name="PO_1">"$#REF!.$#REF!$#REF!"</definedName>
    <definedName name="PO_1_1">"$#REF!.$#REF!$#REF!"</definedName>
    <definedName name="PO_2">"$#REF!.$#REF!$#REF!"</definedName>
    <definedName name="PO_2_1">"$#REF!.$#REF!$#REF!"</definedName>
    <definedName name="Print_Area_MI_1">"$#REF!.$#REF!$#REF!:$#REF!$#REF!"</definedName>
    <definedName name="Print_Titles_MI_1">"$#REF!.$#REF!$#REF!:$#REF!$#REF!"</definedName>
    <definedName name="PROD_1">"$#REF!.$I$47"</definedName>
    <definedName name="PROD_1_1">"$#REF!.$I$47"</definedName>
    <definedName name="PROD_2">"$#REF!.$I$47"</definedName>
    <definedName name="PROD_2_1">"$#REF!.$I$47"</definedName>
    <definedName name="production">"$#REF!.$G$3:$G$4"</definedName>
    <definedName name="production_1">"$#REF!.$G$3:$G$4"</definedName>
    <definedName name="produksi_1">"$#REF!.$S$12:$Y$41"</definedName>
    <definedName name="Room">"$#REF!.$L$47:$M$52"</definedName>
    <definedName name="Room_10">"$#REF!.$L$47:$M$52"</definedName>
    <definedName name="s">"""No Time Sheet 1 Shift"""</definedName>
    <definedName name="S_DUMP">"$#REF!.$#REF!$#REF!:$#REF!$#REF!"</definedName>
    <definedName name="S_DUMP_10">"$#REF!.$#REF!$#REF!:$#REF!$#REF!"</definedName>
    <definedName name="S_PN1">"$#REF!.$#REF!$#REF!:$#REF!$#REF!"</definedName>
    <definedName name="S_PN1_10">"$#REF!.$#REF!$#REF!:$#REF!$#REF!"</definedName>
    <definedName name="S_PN2">"$#REF!.$#REF!$#REF!:$#REF!$#REF!"</definedName>
    <definedName name="S_PN2_10">"$#REF!.$#REF!$#REF!:$#REF!$#REF!"</definedName>
    <definedName name="S_PN3">"$#REF!.$#REF!$#REF!:$#REF!$#REF!"</definedName>
    <definedName name="S_PN3_10">"$#REF!.$#REF!$#REF!:$#REF!$#REF!"</definedName>
    <definedName name="S_SD">"$#REF!.$#REF!$#REF!:$#REF!$#REF!"</definedName>
    <definedName name="S_SD_10">"$#REF!.$#REF!$#REF!:$#REF!$#REF!"</definedName>
    <definedName name="sencount" hidden="1">1</definedName>
    <definedName name="step">"$#REF!.$B$9:$C$11"</definedName>
    <definedName name="step_10">"$#REF!.$B$9:$C$11"</definedName>
    <definedName name="Tarif">"$#REF!.$C$48:$D$55"</definedName>
    <definedName name="Tarif_1">"$#REF!.$C$48:$D$55"</definedName>
    <definedName name="Tarif_1_1">"$#REF!.$C$48:$D$55"</definedName>
    <definedName name="Tarif_2">"$#REF!.$C$48:$D$55"</definedName>
    <definedName name="Tarif_2_1">"$#REF!.$C$48:$D$55"</definedName>
    <definedName name="TaxTV">10%</definedName>
    <definedName name="TaxXL">5%</definedName>
    <definedName name="TRF">"'file://Talafspu401/ccr/Data Induk Prod.Dept/Bonus produksi/3.Incentive KPP/06.Desember.xls'#$'Master '.$#REF!$#REF!:$#REF!$#REF!"</definedName>
    <definedName name="TRF_1">"'file://Talafspu401/ccr/Data Induk Prod.Dept/Bonus produksi/3.Incentive KPP/06.Desember.xls'#$'Master '.$#REF!$#REF!:$#REF!$#REF!"</definedName>
    <definedName name="TRF_1_1">"'file://Talafspu401/ccr/Data Induk Prod.Dept/Bonus produksi/3.Incentive KPP/06.Desember.xls'#$'Master '.$#REF!$#REF!:$#REF!$#REF!"</definedName>
    <definedName name="TRF_2">"'file://Talafspu401/ccr/Data Induk Prod.Dept/Bonus produksi/3.Incentive KPP/06.Desember.xls'#$'Master '.$#REF!$#REF!:$#REF!$#REF!"</definedName>
    <definedName name="TRF_2_1">"'file://Talafspu401/ccr/Data Induk Prod.Dept/Bonus produksi/3.Incentive KPP/06.Desember.xls'#$'Master '.$#REF!$#REF!:$#REF!$#REF!"</definedName>
    <definedName name="valuevx">42.314159</definedName>
  </definedNames>
  <calcPr calcId="191029"/>
  <pivotCaches>
    <pivotCache cacheId="7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Z9" i="5" l="1"/>
  <c r="Z10" i="5"/>
  <c r="Z11" i="5"/>
  <c r="Z12" i="5"/>
  <c r="Z13" i="5"/>
  <c r="Z14" i="5"/>
  <c r="Z15" i="5"/>
  <c r="Y9" i="5"/>
  <c r="Y10" i="5"/>
  <c r="Y11" i="5"/>
  <c r="Y12" i="5"/>
  <c r="Y13" i="5"/>
  <c r="Y14" i="5"/>
  <c r="Y15" i="5"/>
  <c r="X9" i="5"/>
  <c r="X10" i="5"/>
  <c r="X11" i="5"/>
  <c r="X12" i="5"/>
  <c r="X16" i="5" s="1"/>
  <c r="X13" i="5"/>
  <c r="X14" i="5"/>
  <c r="X15" i="5"/>
  <c r="W9" i="5"/>
  <c r="W10" i="5"/>
  <c r="W11" i="5"/>
  <c r="W16" i="5" s="1"/>
  <c r="W12" i="5"/>
  <c r="W13" i="5"/>
  <c r="W14" i="5"/>
  <c r="W15" i="5"/>
  <c r="V9" i="5"/>
  <c r="V10" i="5"/>
  <c r="V11" i="5"/>
  <c r="V12" i="5"/>
  <c r="V13" i="5"/>
  <c r="V14" i="5"/>
  <c r="V15" i="5"/>
  <c r="U9" i="5"/>
  <c r="U10" i="5"/>
  <c r="U11" i="5"/>
  <c r="U12" i="5"/>
  <c r="U16" i="5" s="1"/>
  <c r="U13" i="5"/>
  <c r="U14" i="5"/>
  <c r="U15" i="5"/>
  <c r="T9" i="5"/>
  <c r="T10" i="5"/>
  <c r="T11" i="5"/>
  <c r="T12" i="5"/>
  <c r="T13" i="5"/>
  <c r="T14" i="5"/>
  <c r="T15" i="5"/>
  <c r="S9" i="5"/>
  <c r="S10" i="5"/>
  <c r="S11" i="5"/>
  <c r="S16" i="5" s="1"/>
  <c r="S12" i="5"/>
  <c r="S13" i="5"/>
  <c r="S14" i="5"/>
  <c r="S15" i="5"/>
  <c r="R9" i="5"/>
  <c r="R10" i="5"/>
  <c r="R11" i="5"/>
  <c r="R12" i="5"/>
  <c r="R13" i="5"/>
  <c r="R14" i="5"/>
  <c r="R15" i="5"/>
  <c r="Q9" i="5"/>
  <c r="Q10" i="5"/>
  <c r="Q11" i="5"/>
  <c r="Q16" i="5" s="1"/>
  <c r="Q12" i="5"/>
  <c r="Q13" i="5"/>
  <c r="Q14" i="5"/>
  <c r="Q15" i="5"/>
  <c r="P9" i="5"/>
  <c r="P10" i="5"/>
  <c r="P11" i="5"/>
  <c r="P12" i="5"/>
  <c r="P13" i="5"/>
  <c r="P14" i="5"/>
  <c r="P15" i="5"/>
  <c r="O9" i="5"/>
  <c r="O10" i="5"/>
  <c r="O11" i="5"/>
  <c r="O12" i="5"/>
  <c r="O13" i="5"/>
  <c r="O14" i="5"/>
  <c r="O15" i="5"/>
  <c r="N9" i="5"/>
  <c r="N10" i="5"/>
  <c r="N11" i="5"/>
  <c r="N12" i="5"/>
  <c r="N16" i="5" s="1"/>
  <c r="N13" i="5"/>
  <c r="N14" i="5"/>
  <c r="N15" i="5"/>
  <c r="M9" i="5"/>
  <c r="M10" i="5"/>
  <c r="M11" i="5"/>
  <c r="M12" i="5"/>
  <c r="M16" i="5" s="1"/>
  <c r="M13" i="5"/>
  <c r="M14" i="5"/>
  <c r="M15" i="5"/>
  <c r="L9" i="5"/>
  <c r="L10" i="5"/>
  <c r="L11" i="5"/>
  <c r="L12" i="5"/>
  <c r="L13" i="5"/>
  <c r="L14" i="5"/>
  <c r="L15" i="5"/>
  <c r="AA9" i="5"/>
  <c r="AA10" i="5"/>
  <c r="AA11" i="5"/>
  <c r="AA13" i="5"/>
  <c r="AA14" i="5"/>
  <c r="Y16" i="5"/>
  <c r="V16" i="5"/>
  <c r="T16" i="5"/>
  <c r="R16" i="5"/>
  <c r="P16" i="5"/>
  <c r="D14" i="5"/>
  <c r="D15" i="5"/>
  <c r="F9" i="5"/>
  <c r="F10" i="5"/>
  <c r="F11" i="5"/>
  <c r="F12" i="5"/>
  <c r="F13" i="5"/>
  <c r="F14" i="5"/>
  <c r="F15" i="5"/>
  <c r="F8" i="5"/>
  <c r="AA15" i="5" l="1"/>
  <c r="AA12" i="5"/>
  <c r="J6" i="54"/>
  <c r="P6" i="54" s="1"/>
  <c r="J7" i="54"/>
  <c r="J8" i="54"/>
  <c r="J5" i="54"/>
  <c r="P7" i="54"/>
  <c r="P8" i="54"/>
  <c r="P9" i="54"/>
  <c r="P10" i="54"/>
  <c r="P11" i="54"/>
  <c r="P12" i="54"/>
  <c r="P5" i="54"/>
  <c r="T7" i="54" l="1"/>
  <c r="T11" i="54"/>
  <c r="T10" i="54"/>
  <c r="T8" i="54"/>
  <c r="T9" i="54"/>
  <c r="Q8" i="5" l="1"/>
  <c r="R8" i="5"/>
  <c r="S8" i="5"/>
  <c r="T8" i="5"/>
  <c r="U8" i="5"/>
  <c r="V8" i="5"/>
  <c r="W8" i="5"/>
  <c r="X8" i="5"/>
  <c r="P8" i="5"/>
  <c r="N8" i="5"/>
  <c r="L8" i="5"/>
  <c r="J9" i="5"/>
  <c r="I13" i="54"/>
  <c r="D9" i="5"/>
  <c r="D10" i="5"/>
  <c r="D11" i="5"/>
  <c r="D12" i="5"/>
  <c r="D13" i="5"/>
  <c r="D8" i="5"/>
  <c r="K5" i="54"/>
  <c r="L5" i="54"/>
  <c r="M5" i="54"/>
  <c r="N5" i="54"/>
  <c r="O5" i="54"/>
  <c r="Q5" i="54"/>
  <c r="AC5" i="54"/>
  <c r="Y8" i="5" s="1"/>
  <c r="AH5" i="54"/>
  <c r="K6" i="54"/>
  <c r="L6" i="54"/>
  <c r="M6" i="54"/>
  <c r="N6" i="54"/>
  <c r="O6" i="54"/>
  <c r="Q6" i="54"/>
  <c r="AC6" i="54"/>
  <c r="AH6" i="54"/>
  <c r="K7" i="54"/>
  <c r="L7" i="54"/>
  <c r="M7" i="54"/>
  <c r="N7" i="54"/>
  <c r="O7" i="54"/>
  <c r="Q7" i="54"/>
  <c r="AC7" i="54"/>
  <c r="AH7" i="54"/>
  <c r="K8" i="54"/>
  <c r="L8" i="54"/>
  <c r="M8" i="54"/>
  <c r="N8" i="54"/>
  <c r="O8" i="54"/>
  <c r="Q8" i="54"/>
  <c r="AC8" i="54"/>
  <c r="AF8" i="54"/>
  <c r="AH8" i="54" s="1"/>
  <c r="K9" i="54"/>
  <c r="L9" i="54"/>
  <c r="M9" i="54"/>
  <c r="N9" i="54"/>
  <c r="O9" i="54"/>
  <c r="Q9" i="54"/>
  <c r="AC9" i="54"/>
  <c r="AH9" i="54"/>
  <c r="K10" i="54"/>
  <c r="L10" i="54"/>
  <c r="M10" i="54"/>
  <c r="N10" i="54"/>
  <c r="O10" i="54"/>
  <c r="Q10" i="54"/>
  <c r="AC10" i="54"/>
  <c r="AH10" i="54"/>
  <c r="K11" i="54"/>
  <c r="L11" i="54"/>
  <c r="M11" i="54"/>
  <c r="N11" i="54"/>
  <c r="O11" i="54"/>
  <c r="Q11" i="54"/>
  <c r="AC11" i="54"/>
  <c r="AH11" i="54"/>
  <c r="AD13" i="54"/>
  <c r="K12" i="54"/>
  <c r="L12" i="54"/>
  <c r="M12" i="54"/>
  <c r="N12" i="54"/>
  <c r="O12" i="54"/>
  <c r="Q12" i="54"/>
  <c r="AC12" i="54"/>
  <c r="AH12" i="54"/>
  <c r="C13" i="54"/>
  <c r="D13" i="54"/>
  <c r="E13" i="54"/>
  <c r="F13" i="54"/>
  <c r="G13" i="54"/>
  <c r="H13" i="54"/>
  <c r="U13" i="54"/>
  <c r="V13" i="54"/>
  <c r="W13" i="54"/>
  <c r="X13" i="54"/>
  <c r="Y13" i="54"/>
  <c r="Z13" i="54"/>
  <c r="AA13" i="54"/>
  <c r="AB13" i="54"/>
  <c r="AG13" i="54"/>
  <c r="N13" i="54" l="1"/>
  <c r="M13" i="54"/>
  <c r="Q13" i="54"/>
  <c r="AE8" i="54"/>
  <c r="AE12" i="54"/>
  <c r="R7" i="54"/>
  <c r="M8" i="5"/>
  <c r="AH13" i="54"/>
  <c r="AF13" i="54"/>
  <c r="L13" i="54"/>
  <c r="AE11" i="54"/>
  <c r="O13" i="54"/>
  <c r="AC13" i="54"/>
  <c r="R9" i="54"/>
  <c r="T13" i="54"/>
  <c r="R12" i="54"/>
  <c r="R8" i="54"/>
  <c r="K13" i="54"/>
  <c r="R5" i="54" l="1"/>
  <c r="P13" i="54"/>
  <c r="S13" i="54" s="1"/>
  <c r="R11" i="54"/>
  <c r="R6" i="54"/>
  <c r="AE5" i="54"/>
  <c r="AE9" i="54"/>
  <c r="AE10" i="54"/>
  <c r="AE7" i="54"/>
  <c r="R10" i="54"/>
  <c r="AE6" i="54"/>
  <c r="R13" i="54" l="1"/>
  <c r="AE13" i="54"/>
  <c r="J14" i="5"/>
  <c r="AA8" i="5" l="1"/>
  <c r="J15" i="5"/>
  <c r="J13" i="5" l="1"/>
  <c r="J12" i="5"/>
  <c r="L16" i="5" l="1"/>
  <c r="Z16" i="5" l="1"/>
  <c r="O16" i="5"/>
  <c r="J11" i="5"/>
  <c r="J10" i="5"/>
  <c r="J8" i="5"/>
  <c r="P19" i="5" l="1"/>
  <c r="O8" i="5" l="1"/>
  <c r="Z8" i="5" l="1"/>
</calcChain>
</file>

<file path=xl/sharedStrings.xml><?xml version="1.0" encoding="utf-8"?>
<sst xmlns="http://schemas.openxmlformats.org/spreadsheetml/2006/main" count="161" uniqueCount="99">
  <si>
    <t>Nama Teknisi</t>
  </si>
  <si>
    <t>Potongan Kasbon</t>
  </si>
  <si>
    <t>Keterlambatan</t>
  </si>
  <si>
    <t>Potongan Minus Audit</t>
  </si>
  <si>
    <t>Nett Bagi hasil</t>
  </si>
  <si>
    <t>Cadangan 7 Tahun / bulan</t>
  </si>
  <si>
    <t>Cadangan 7 Tahun</t>
  </si>
  <si>
    <t>Total Cadangan 7 Tahun</t>
  </si>
  <si>
    <t xml:space="preserve">PERIODE: </t>
  </si>
  <si>
    <t>NO</t>
  </si>
  <si>
    <t>NIK</t>
  </si>
  <si>
    <t>NAMA</t>
  </si>
  <si>
    <t>JABATAN</t>
  </si>
  <si>
    <t>LOKASI KERJA</t>
  </si>
  <si>
    <t xml:space="preserve">Bank </t>
  </si>
  <si>
    <t xml:space="preserve"> No. Rek. </t>
  </si>
  <si>
    <t xml:space="preserve"> A/n </t>
  </si>
  <si>
    <t>DATA REKENING</t>
  </si>
  <si>
    <t>STATUS KARYAWAN</t>
  </si>
  <si>
    <t>TOTAL LABA KOTOR JASA SERVICE HP</t>
  </si>
  <si>
    <t>PENERIMAAN BAGI HASIL</t>
  </si>
  <si>
    <t>PENDAPATAN LAIN-LAIN</t>
  </si>
  <si>
    <t>TOTAL PENDAPATAN</t>
  </si>
  <si>
    <t>BAGI HASIL NETT</t>
  </si>
  <si>
    <t>INFORMASI</t>
  </si>
  <si>
    <t>Teknisi</t>
  </si>
  <si>
    <t>MITRA</t>
  </si>
  <si>
    <t>BSI</t>
  </si>
  <si>
    <t>TOTAL</t>
  </si>
  <si>
    <t>Jakarta,</t>
  </si>
  <si>
    <t>Approved by</t>
  </si>
  <si>
    <t>Prepared by</t>
  </si>
  <si>
    <t>Deni Darmawan</t>
  </si>
  <si>
    <t>Galih Permana</t>
  </si>
  <si>
    <t>Zaskanul Tibalky</t>
  </si>
  <si>
    <t>Owner Madinah Group</t>
  </si>
  <si>
    <t>Finance &amp; Acc Manager</t>
  </si>
  <si>
    <t>HR Manager</t>
  </si>
  <si>
    <t>TEKNISI HANDPHONE &amp; LAPTOP</t>
  </si>
  <si>
    <t>JATIMULYA</t>
  </si>
  <si>
    <t>Gaji Teknisi</t>
  </si>
  <si>
    <t>DAFTAR BAGI HASIL MFLASH JATIMULYA PT MADINAH MULTIMEDIA TELEKOMUNIKASI</t>
  </si>
  <si>
    <t>Muhamad Yudisya Andita</t>
  </si>
  <si>
    <t>Corcomm</t>
  </si>
  <si>
    <t>Potongan AR</t>
  </si>
  <si>
    <t>ABDUL MUNAJAT</t>
  </si>
  <si>
    <t>YUVI NOFERIANTO</t>
  </si>
  <si>
    <t>TGL FAKTUR</t>
  </si>
  <si>
    <t>KATEGORI BARANG</t>
  </si>
  <si>
    <t>Jasa</t>
  </si>
  <si>
    <t>EKO RISDIYANTORO JATIMULYA</t>
  </si>
  <si>
    <t>ARIFIN SANTOSO JATIMULYA</t>
  </si>
  <si>
    <t>ARI MARWAN</t>
  </si>
  <si>
    <t>MUSTOFA</t>
  </si>
  <si>
    <t>Potongan Audit Compliance</t>
  </si>
  <si>
    <t>BOY RIKARDO</t>
  </si>
  <si>
    <t>Row Labels</t>
  </si>
  <si>
    <t>Grand Total</t>
  </si>
  <si>
    <t>Sum of TOTAL HARGA</t>
  </si>
  <si>
    <t>(All)</t>
  </si>
  <si>
    <t>(Multiple Items)</t>
  </si>
  <si>
    <t>24 April-4 Mei</t>
  </si>
  <si>
    <t>5 Mei - 23 Mei</t>
  </si>
  <si>
    <t>24 April - 23 Mei</t>
  </si>
  <si>
    <t>Saudara Teknisi</t>
  </si>
  <si>
    <t>Normal</t>
  </si>
  <si>
    <t>Khusus 2 teknisi ini masih ada program saudara teknisi</t>
  </si>
  <si>
    <t>Total Potongan</t>
  </si>
  <si>
    <t>Simpanan Wajib</t>
  </si>
  <si>
    <t>Simpanan Pokok</t>
  </si>
  <si>
    <t>Biaya Pendaftaran Koperasi</t>
  </si>
  <si>
    <t>SYARIF HIDAYAT</t>
  </si>
  <si>
    <t>IKANG TAUFIK (OPIK)</t>
  </si>
  <si>
    <t>Potongan Refund</t>
  </si>
  <si>
    <t>ROBI PRAYOGA</t>
  </si>
  <si>
    <t>Efektif %</t>
  </si>
  <si>
    <t>Selisih</t>
  </si>
  <si>
    <t>Pembanding 30%</t>
  </si>
  <si>
    <t>Total Bagi Hasil (Aturan)</t>
  </si>
  <si>
    <t>Bagi Hasil Lainnya</t>
  </si>
  <si>
    <t>Bagi Hasil Promo</t>
  </si>
  <si>
    <t>Bagi Hasil Mati Total</t>
  </si>
  <si>
    <t>Bagi Hasil Normal</t>
  </si>
  <si>
    <t>Bagi Hasil Interface</t>
  </si>
  <si>
    <t>Omzet Jasa (Total)</t>
  </si>
  <si>
    <t>Omzet Lainnya</t>
  </si>
  <si>
    <t>Omzet Promo</t>
  </si>
  <si>
    <t>Omzet Mati Total</t>
  </si>
  <si>
    <t>Omzet Normal</t>
  </si>
  <si>
    <t>Omzet Interface</t>
  </si>
  <si>
    <t>Baris</t>
  </si>
  <si>
    <t>Cabang</t>
  </si>
  <si>
    <t>lencana teknisi 37,5%</t>
  </si>
  <si>
    <t>lencana teknisi 35,5%</t>
  </si>
  <si>
    <t>Periode: 24 Juli 2026 – 23 Agustus 2026 · Tarif: Interface 20%, Normal 30%, Mati Total 32%, Promo 60%, Lainnya 30%, pembanding flat 30%</t>
  </si>
  <si>
    <t>Bagi Hasil Teknisi — Cabang JATIMULYA</t>
  </si>
  <si>
    <t>AGUSTUS 2026</t>
  </si>
  <si>
    <t>Bagi Hasil Persaudaraan</t>
  </si>
  <si>
    <t>pake omset total yg di pivot proporsional 4-23 agustus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</si>
</sst>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2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_);_(* \(#,##0\);_(* &quot;-&quot;??_);_(@_)"/>
    <numFmt numFmtId="167" formatCode="_(&quot;Rp&quot;* #,##0_);_(&quot;Rp&quot;* \(#,##0\);_(&quot;Rp&quot;* &quot;-&quot;_);_(@_)"/>
    <numFmt numFmtId="168" formatCode="0000000000000"/>
    <numFmt numFmtId="169" formatCode="dd\ mmm\ yyyy"/>
    <numFmt numFmtId="170" formatCode="#,##0.##;\-#,##0.##"/>
    <numFmt numFmtId="171" formatCode="_ * #,##0.00_ ;_ * \-#,##0.00_ ;_ * &quot;-&quot;??_ ;_ @_ "/>
    <numFmt numFmtId="172" formatCode="_-&quot;Rp&quot;* #,##0_-;\-&quot;Rp&quot;* #,##0_-;_-&quot;Rp&quot;* &quot;-&quot;??_-;_-@_-"/>
    <numFmt numFmtId="173" formatCode="0.0"/>
  </numFmts>
  <fonts count="82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name val="Cambria"/>
      <family val="1"/>
    </font>
    <font>
      <sz val="11"/>
      <name val="Cambria"/>
      <family val="1"/>
    </font>
    <font>
      <sz val="22"/>
      <name val="Cambria"/>
      <family val="1"/>
    </font>
    <font>
      <i/>
      <sz val="16"/>
      <name val="Cambria"/>
      <family val="1"/>
    </font>
    <font>
      <sz val="20"/>
      <name val="Cambria"/>
      <family val="1"/>
    </font>
    <font>
      <sz val="26"/>
      <name val="Cambria"/>
      <family val="1"/>
    </font>
    <font>
      <b/>
      <sz val="36"/>
      <name val="Cambria"/>
      <family val="1"/>
    </font>
    <font>
      <b/>
      <sz val="22"/>
      <name val="Cambria"/>
      <family val="1"/>
    </font>
    <font>
      <sz val="22"/>
      <color rgb="FF000000"/>
      <name val="Cambria"/>
      <family val="1"/>
      <scheme val="major"/>
    </font>
    <font>
      <sz val="22"/>
      <name val="Cambria"/>
      <family val="1"/>
      <scheme val="major"/>
    </font>
    <font>
      <sz val="22"/>
      <color theme="1"/>
      <name val="Cambria"/>
      <family val="1"/>
      <scheme val="major"/>
    </font>
    <font>
      <b/>
      <sz val="24"/>
      <name val="Cambria"/>
      <family val="1"/>
    </font>
    <font>
      <b/>
      <sz val="26"/>
      <name val="Cambria"/>
      <family val="1"/>
    </font>
    <font>
      <sz val="22"/>
      <color indexed="8"/>
      <name val="Cambria"/>
      <family val="1"/>
    </font>
    <font>
      <b/>
      <sz val="22"/>
      <color theme="1"/>
      <name val="Cambria"/>
      <family val="1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Verdana"/>
      <family val="2"/>
    </font>
    <font>
      <sz val="10"/>
      <name val="Trebuchet MS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color rgb="FFFFFFFF"/>
      <name val="Calibri"/>
      <family val="2"/>
    </font>
    <font>
      <b/>
      <sz val="10"/>
      <name val="Calibri"/>
      <family val="2"/>
    </font>
    <font>
      <i/>
      <sz val="9"/>
      <color rgb="FF555555"/>
      <name val="Calibri"/>
      <family val="2"/>
    </font>
    <font>
      <b/>
      <sz val="13"/>
      <color rgb="FF1F3864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0.399914548173467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206518753624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CE6F1"/>
      </patternFill>
    </fill>
    <fill>
      <patternFill patternType="solid">
        <fgColor rgb="FFFFF8E1"/>
      </patternFill>
    </fill>
    <fill>
      <patternFill patternType="solid">
        <fgColor rgb="FFF4F7FB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166534"/>
      </patternFill>
    </fill>
    <fill>
      <patternFill patternType="solid">
        <fgColor rgb="FFB45309"/>
      </patternFill>
    </fill>
    <fill>
      <patternFill patternType="solid">
        <fgColor rgb="FF1F3864"/>
      </patternFill>
    </fill>
    <fill>
      <patternFill patternType="solid">
        <fgColor theme="9" tint="-0.24997711111789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medium">
        <color rgb="FF1F3864"/>
      </top>
      <bottom/>
      <diagonal/>
    </border>
    <border>
      <left/>
      <right/>
      <top/>
      <bottom style="thin">
        <color rgb="FFD9D9D9"/>
      </bottom>
      <diagonal/>
    </border>
    <border>
      <left/>
      <right/>
      <top/>
      <bottom style="medium">
        <color rgb="FF1F3864"/>
      </bottom>
      <diagonal/>
    </border>
  </borders>
  <cellStyleXfs count="149">
    <xf numFmtId="0" fontId="0" fillId="0" borderId="0">
      <alignment vertical="center"/>
    </xf>
    <xf numFmtId="9" fontId="58" fillId="0" borderId="0" applyFont="0" applyFill="0" applyBorder="0" applyAlignment="0" applyProtection="0"/>
    <xf numFmtId="164" fontId="59" fillId="0" borderId="0" applyFont="0" applyFill="0" applyBorder="0" applyAlignment="0" applyProtection="0">
      <alignment vertical="center"/>
    </xf>
    <xf numFmtId="164" fontId="58" fillId="0" borderId="0" applyFont="0" applyFill="0" applyBorder="0" applyAlignment="0" applyProtection="0"/>
    <xf numFmtId="165" fontId="59" fillId="0" borderId="0" applyFont="0" applyFill="0" applyBorder="0" applyAlignment="0" applyProtection="0">
      <alignment vertical="center"/>
    </xf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9" fontId="58" fillId="0" borderId="0" applyFont="0" applyFill="0" applyBorder="0" applyAlignment="0" applyProtection="0"/>
    <xf numFmtId="0" fontId="58" fillId="0" borderId="0"/>
    <xf numFmtId="0" fontId="58" fillId="0" borderId="0"/>
    <xf numFmtId="0" fontId="61" fillId="0" borderId="0"/>
    <xf numFmtId="0" fontId="58" fillId="0" borderId="0"/>
    <xf numFmtId="165" fontId="60" fillId="0" borderId="0" applyFont="0" applyFill="0" applyBorder="0" applyAlignment="0" applyProtection="0"/>
    <xf numFmtId="164" fontId="58" fillId="0" borderId="0" applyFont="0" applyFill="0" applyBorder="0" applyAlignment="0" applyProtection="0"/>
    <xf numFmtId="164" fontId="58" fillId="0" borderId="0" applyFont="0" applyFill="0" applyBorder="0" applyAlignment="0" applyProtection="0"/>
    <xf numFmtId="164" fontId="58" fillId="0" borderId="0" applyFont="0" applyFill="0" applyBorder="0" applyAlignment="0" applyProtection="0"/>
    <xf numFmtId="0" fontId="58" fillId="0" borderId="0"/>
    <xf numFmtId="0" fontId="42" fillId="0" borderId="0"/>
    <xf numFmtId="0" fontId="41" fillId="0" borderId="0">
      <alignment vertical="center"/>
    </xf>
    <xf numFmtId="0" fontId="40" fillId="0" borderId="0"/>
    <xf numFmtId="0" fontId="40" fillId="0" borderId="0">
      <alignment vertical="center"/>
    </xf>
    <xf numFmtId="0" fontId="39" fillId="0" borderId="0">
      <alignment vertical="center"/>
    </xf>
    <xf numFmtId="0" fontId="39" fillId="0" borderId="0"/>
    <xf numFmtId="0" fontId="38" fillId="0" borderId="0"/>
    <xf numFmtId="0" fontId="38" fillId="0" borderId="0">
      <alignment vertical="center"/>
    </xf>
    <xf numFmtId="164" fontId="37" fillId="0" borderId="0" applyFont="0" applyFill="0" applyBorder="0" applyAlignment="0" applyProtection="0">
      <alignment vertical="center"/>
    </xf>
    <xf numFmtId="0" fontId="36" fillId="0" borderId="0"/>
    <xf numFmtId="0" fontId="62" fillId="0" borderId="0">
      <alignment vertical="center"/>
    </xf>
    <xf numFmtId="0" fontId="35" fillId="0" borderId="0">
      <alignment vertical="center"/>
    </xf>
    <xf numFmtId="0" fontId="35" fillId="0" borderId="0"/>
    <xf numFmtId="0" fontId="34" fillId="0" borderId="0"/>
    <xf numFmtId="0" fontId="63" fillId="0" borderId="0">
      <alignment vertical="center"/>
    </xf>
    <xf numFmtId="0" fontId="33" fillId="0" borderId="0"/>
    <xf numFmtId="0" fontId="64" fillId="0" borderId="0">
      <alignment vertical="center"/>
    </xf>
    <xf numFmtId="0" fontId="32" fillId="0" borderId="0"/>
    <xf numFmtId="0" fontId="31" fillId="0" borderId="0">
      <alignment vertical="center"/>
    </xf>
    <xf numFmtId="0" fontId="30" fillId="0" borderId="0"/>
    <xf numFmtId="0" fontId="65" fillId="0" borderId="0">
      <alignment vertical="center"/>
    </xf>
    <xf numFmtId="0" fontId="29" fillId="0" borderId="0"/>
    <xf numFmtId="0" fontId="28" fillId="0" borderId="0"/>
    <xf numFmtId="0" fontId="66" fillId="0" borderId="0">
      <alignment vertical="center"/>
    </xf>
    <xf numFmtId="0" fontId="27" fillId="0" borderId="0"/>
    <xf numFmtId="0" fontId="67" fillId="0" borderId="0">
      <alignment vertical="center"/>
    </xf>
    <xf numFmtId="0" fontId="26" fillId="0" borderId="0"/>
    <xf numFmtId="0" fontId="25" fillId="0" borderId="0">
      <alignment vertical="center"/>
    </xf>
    <xf numFmtId="0" fontId="68" fillId="0" borderId="0">
      <alignment vertical="center"/>
    </xf>
    <xf numFmtId="0" fontId="24" fillId="0" borderId="0"/>
    <xf numFmtId="0" fontId="23" fillId="0" borderId="0"/>
    <xf numFmtId="0" fontId="69" fillId="0" borderId="0">
      <alignment vertical="center"/>
    </xf>
    <xf numFmtId="0" fontId="22" fillId="0" borderId="0"/>
    <xf numFmtId="0" fontId="70" fillId="0" borderId="0">
      <alignment vertical="center"/>
    </xf>
    <xf numFmtId="0" fontId="21" fillId="0" borderId="0"/>
    <xf numFmtId="0" fontId="20" fillId="0" borderId="0"/>
    <xf numFmtId="0" fontId="71" fillId="0" borderId="0">
      <alignment vertical="center"/>
    </xf>
    <xf numFmtId="0" fontId="19" fillId="0" borderId="0"/>
    <xf numFmtId="0" fontId="18" fillId="0" borderId="0"/>
    <xf numFmtId="0" fontId="17" fillId="0" borderId="0"/>
    <xf numFmtId="0" fontId="16" fillId="0" borderId="0"/>
    <xf numFmtId="0" fontId="72" fillId="0" borderId="0">
      <alignment vertical="center"/>
    </xf>
    <xf numFmtId="0" fontId="15" fillId="0" borderId="0"/>
    <xf numFmtId="0" fontId="14" fillId="0" borderId="0">
      <alignment vertical="center"/>
    </xf>
    <xf numFmtId="0" fontId="14" fillId="0" borderId="0"/>
    <xf numFmtId="0" fontId="73" fillId="0" borderId="0">
      <alignment vertical="center"/>
    </xf>
    <xf numFmtId="0" fontId="13" fillId="0" borderId="0"/>
    <xf numFmtId="9" fontId="12" fillId="0" borderId="0" applyFont="0" applyFill="0" applyBorder="0" applyAlignment="0" applyProtection="0"/>
    <xf numFmtId="41" fontId="12" fillId="0" borderId="0" applyFont="0" applyFill="0" applyBorder="0" applyAlignment="0" applyProtection="0">
      <alignment vertical="center"/>
    </xf>
    <xf numFmtId="41" fontId="12" fillId="0" borderId="0" applyFont="0" applyFill="0" applyBorder="0" applyAlignment="0" applyProtection="0"/>
    <xf numFmtId="43" fontId="12" fillId="0" borderId="0" applyFont="0" applyFill="0" applyBorder="0" applyAlignment="0" applyProtection="0">
      <alignment vertical="center"/>
    </xf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9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/>
    <xf numFmtId="43" fontId="60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41" fontId="12" fillId="0" borderId="0" applyFont="0" applyFill="0" applyBorder="0" applyAlignment="0" applyProtection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41" fontId="12" fillId="0" borderId="0" applyFont="0" applyFill="0" applyBorder="0" applyAlignment="0" applyProtection="0">
      <alignment vertical="center"/>
    </xf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/>
    <xf numFmtId="0" fontId="12" fillId="0" borderId="0"/>
    <xf numFmtId="0" fontId="12" fillId="0" borderId="0"/>
    <xf numFmtId="0" fontId="12" fillId="0" borderId="0">
      <alignment vertical="center"/>
    </xf>
    <xf numFmtId="0" fontId="12" fillId="0" borderId="0"/>
    <xf numFmtId="0" fontId="12" fillId="0" borderId="0">
      <alignment vertical="center"/>
    </xf>
    <xf numFmtId="0" fontId="12" fillId="0" borderId="0"/>
    <xf numFmtId="43" fontId="12" fillId="0" borderId="0" applyFont="0" applyFill="0" applyBorder="0" applyAlignment="0" applyProtection="0">
      <alignment vertical="center"/>
    </xf>
    <xf numFmtId="0" fontId="11" fillId="0" borderId="0"/>
    <xf numFmtId="0" fontId="10" fillId="0" borderId="0">
      <alignment vertical="center"/>
    </xf>
    <xf numFmtId="171" fontId="10" fillId="0" borderId="0" applyFont="0" applyFill="0" applyBorder="0" applyAlignment="0" applyProtection="0">
      <alignment vertical="center"/>
    </xf>
    <xf numFmtId="164" fontId="10" fillId="0" borderId="0" applyFont="0" applyFill="0" applyBorder="0" applyAlignment="0" applyProtection="0"/>
    <xf numFmtId="165" fontId="74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5" fontId="9" fillId="0" borderId="0" applyFont="0" applyFill="0" applyBorder="0" applyAlignment="0" applyProtection="0"/>
    <xf numFmtId="0" fontId="75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76" fillId="0" borderId="0">
      <alignment vertical="center"/>
    </xf>
    <xf numFmtId="0" fontId="8" fillId="0" borderId="0">
      <alignment vertical="center"/>
    </xf>
    <xf numFmtId="171" fontId="8" fillId="0" borderId="0" applyFont="0" applyFill="0" applyBorder="0" applyAlignment="0" applyProtection="0">
      <alignment vertical="center"/>
    </xf>
    <xf numFmtId="164" fontId="8" fillId="0" borderId="0" applyFont="0" applyFill="0" applyBorder="0" applyAlignment="0" applyProtection="0"/>
    <xf numFmtId="165" fontId="7" fillId="0" borderId="0" applyFont="0" applyFill="0" applyBorder="0" applyAlignment="0" applyProtection="0"/>
    <xf numFmtId="165" fontId="6" fillId="0" borderId="0" applyFont="0" applyFill="0" applyBorder="0" applyAlignment="0" applyProtection="0"/>
    <xf numFmtId="165" fontId="5" fillId="0" borderId="0" applyFont="0" applyFill="0" applyBorder="0" applyAlignment="0" applyProtection="0"/>
    <xf numFmtId="0" fontId="4" fillId="0" borderId="0"/>
    <xf numFmtId="0" fontId="3" fillId="0" borderId="0">
      <alignment vertical="center"/>
    </xf>
    <xf numFmtId="171" fontId="3" fillId="0" borderId="0" applyFont="0" applyFill="0" applyBorder="0" applyAlignment="0" applyProtection="0">
      <alignment vertical="center"/>
    </xf>
    <xf numFmtId="164" fontId="3" fillId="0" borderId="0" applyFont="0" applyFill="0" applyBorder="0" applyAlignment="0" applyProtection="0"/>
    <xf numFmtId="0" fontId="2" fillId="0" borderId="0"/>
  </cellStyleXfs>
  <cellXfs count="81">
    <xf numFmtId="0" fontId="0" fillId="0" borderId="0" xfId="0">
      <alignment vertical="center"/>
    </xf>
    <xf numFmtId="0" fontId="45" fillId="0" borderId="0" xfId="0" applyFont="1">
      <alignment vertical="center"/>
    </xf>
    <xf numFmtId="0" fontId="46" fillId="0" borderId="0" xfId="0" applyFont="1">
      <alignment vertical="center"/>
    </xf>
    <xf numFmtId="0" fontId="45" fillId="0" borderId="0" xfId="0" applyFont="1" applyAlignment="1">
      <alignment vertical="center" wrapText="1"/>
    </xf>
    <xf numFmtId="0" fontId="47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0" fontId="48" fillId="0" borderId="0" xfId="0" applyFont="1">
      <alignment vertical="center"/>
    </xf>
    <xf numFmtId="0" fontId="44" fillId="0" borderId="0" xfId="0" applyFont="1">
      <alignment vertical="center"/>
    </xf>
    <xf numFmtId="49" fontId="44" fillId="0" borderId="0" xfId="0" applyNumberFormat="1" applyFont="1" applyAlignment="1">
      <alignment horizontal="center" vertical="center"/>
    </xf>
    <xf numFmtId="0" fontId="44" fillId="0" borderId="0" xfId="0" applyFont="1" applyAlignment="1">
      <alignment horizontal="center" vertical="center"/>
    </xf>
    <xf numFmtId="0" fontId="49" fillId="0" borderId="0" xfId="0" applyFont="1">
      <alignment vertical="center"/>
    </xf>
    <xf numFmtId="0" fontId="49" fillId="0" borderId="0" xfId="0" applyFont="1" applyAlignment="1">
      <alignment vertical="center" wrapText="1"/>
    </xf>
    <xf numFmtId="49" fontId="50" fillId="0" borderId="0" xfId="0" applyNumberFormat="1" applyFont="1" applyAlignment="1">
      <alignment horizontal="center" vertical="center"/>
    </xf>
    <xf numFmtId="0" fontId="50" fillId="0" borderId="0" xfId="0" applyFont="1" applyAlignment="1">
      <alignment horizontal="center" vertical="center"/>
    </xf>
    <xf numFmtId="0" fontId="46" fillId="0" borderId="0" xfId="0" applyFont="1" applyAlignment="1">
      <alignment horizontal="center" vertical="center"/>
    </xf>
    <xf numFmtId="0" fontId="50" fillId="2" borderId="1" xfId="0" applyFont="1" applyFill="1" applyBorder="1" applyAlignment="1">
      <alignment horizontal="center" vertical="center" wrapText="1"/>
    </xf>
    <xf numFmtId="49" fontId="50" fillId="2" borderId="1" xfId="0" applyNumberFormat="1" applyFont="1" applyFill="1" applyBorder="1" applyAlignment="1">
      <alignment horizontal="center" vertical="center" wrapText="1"/>
    </xf>
    <xf numFmtId="0" fontId="45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left" vertical="center" wrapText="1"/>
    </xf>
    <xf numFmtId="0" fontId="52" fillId="0" borderId="1" xfId="2" applyNumberFormat="1" applyFont="1" applyFill="1" applyBorder="1" applyAlignment="1">
      <alignment horizontal="center" vertical="center" wrapText="1"/>
    </xf>
    <xf numFmtId="0" fontId="52" fillId="0" borderId="1" xfId="0" applyFont="1" applyBorder="1">
      <alignment vertical="center"/>
    </xf>
    <xf numFmtId="0" fontId="53" fillId="0" borderId="1" xfId="0" applyFont="1" applyBorder="1" applyAlignment="1">
      <alignment horizontal="center" vertical="center" wrapText="1"/>
    </xf>
    <xf numFmtId="0" fontId="52" fillId="0" borderId="1" xfId="0" applyFont="1" applyBorder="1" applyAlignment="1">
      <alignment horizontal="center" vertical="center" wrapText="1"/>
    </xf>
    <xf numFmtId="168" fontId="55" fillId="0" borderId="0" xfId="0" applyNumberFormat="1" applyFont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5" fillId="0" borderId="0" xfId="0" applyFont="1" applyAlignment="1">
      <alignment horizontal="left" vertical="center"/>
    </xf>
    <xf numFmtId="0" fontId="49" fillId="0" borderId="0" xfId="0" applyFont="1" applyAlignment="1">
      <alignment horizontal="left" vertical="center" wrapText="1"/>
    </xf>
    <xf numFmtId="0" fontId="50" fillId="3" borderId="1" xfId="0" applyFont="1" applyFill="1" applyBorder="1" applyAlignment="1">
      <alignment horizontal="center" vertical="center" wrapText="1"/>
    </xf>
    <xf numFmtId="0" fontId="50" fillId="4" borderId="1" xfId="0" applyFont="1" applyFill="1" applyBorder="1" applyAlignment="1">
      <alignment horizontal="center" vertical="center" wrapText="1"/>
    </xf>
    <xf numFmtId="164" fontId="56" fillId="0" borderId="1" xfId="0" applyNumberFormat="1" applyFont="1" applyBorder="1">
      <alignment vertical="center"/>
    </xf>
    <xf numFmtId="164" fontId="45" fillId="0" borderId="1" xfId="0" applyNumberFormat="1" applyFont="1" applyBorder="1" applyAlignment="1">
      <alignment horizontal="center" vertical="center" wrapText="1"/>
    </xf>
    <xf numFmtId="164" fontId="45" fillId="0" borderId="1" xfId="2" applyFont="1" applyFill="1" applyBorder="1" applyAlignment="1">
      <alignment horizontal="center" vertical="center" wrapText="1"/>
    </xf>
    <xf numFmtId="167" fontId="54" fillId="0" borderId="1" xfId="0" applyNumberFormat="1" applyFont="1" applyBorder="1" applyAlignment="1">
      <alignment horizontal="center" vertical="center" wrapText="1"/>
    </xf>
    <xf numFmtId="0" fontId="55" fillId="0" borderId="0" xfId="0" applyFont="1" applyAlignment="1">
      <alignment horizontal="right" vertical="center"/>
    </xf>
    <xf numFmtId="14" fontId="55" fillId="0" borderId="0" xfId="0" applyNumberFormat="1" applyFont="1" applyAlignment="1">
      <alignment horizontal="right" vertical="center"/>
    </xf>
    <xf numFmtId="0" fontId="57" fillId="5" borderId="1" xfId="0" applyFont="1" applyFill="1" applyBorder="1" applyAlignment="1">
      <alignment horizontal="center" vertical="center" wrapText="1"/>
    </xf>
    <xf numFmtId="0" fontId="50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vertical="center" wrapText="1"/>
    </xf>
    <xf numFmtId="0" fontId="43" fillId="0" borderId="1" xfId="0" applyFont="1" applyBorder="1" applyAlignment="1">
      <alignment vertical="center" wrapText="1"/>
    </xf>
    <xf numFmtId="0" fontId="43" fillId="0" borderId="0" xfId="0" applyFont="1">
      <alignment vertical="center"/>
    </xf>
    <xf numFmtId="167" fontId="45" fillId="0" borderId="0" xfId="0" applyNumberFormat="1" applyFont="1">
      <alignment vertical="center"/>
    </xf>
    <xf numFmtId="164" fontId="55" fillId="0" borderId="0" xfId="2" applyFont="1" applyAlignment="1">
      <alignment horizontal="center" vertical="center"/>
    </xf>
    <xf numFmtId="164" fontId="55" fillId="0" borderId="0" xfId="0" applyNumberFormat="1" applyFont="1">
      <alignment vertical="center"/>
    </xf>
    <xf numFmtId="164" fontId="55" fillId="0" borderId="0" xfId="0" applyNumberFormat="1" applyFont="1" applyAlignment="1">
      <alignment horizontal="center" vertical="center"/>
    </xf>
    <xf numFmtId="166" fontId="48" fillId="0" borderId="0" xfId="4" applyNumberFormat="1" applyFont="1">
      <alignment vertical="center"/>
    </xf>
    <xf numFmtId="164" fontId="48" fillId="0" borderId="0" xfId="0" applyNumberFormat="1" applyFont="1">
      <alignment vertical="center"/>
    </xf>
    <xf numFmtId="17" fontId="49" fillId="0" borderId="0" xfId="0" quotePrefix="1" applyNumberFormat="1" applyFont="1">
      <alignment vertical="center"/>
    </xf>
    <xf numFmtId="167" fontId="48" fillId="0" borderId="0" xfId="0" applyNumberFormat="1" applyFont="1">
      <alignment vertical="center"/>
    </xf>
    <xf numFmtId="0" fontId="51" fillId="6" borderId="1" xfId="0" applyFont="1" applyFill="1" applyBorder="1" applyAlignment="1">
      <alignment horizontal="center" vertical="center"/>
    </xf>
    <xf numFmtId="0" fontId="0" fillId="0" borderId="0" xfId="0" pivotButton="1">
      <alignment vertical="center"/>
    </xf>
    <xf numFmtId="0" fontId="0" fillId="0" borderId="0" xfId="0" applyAlignment="1">
      <alignment horizontal="left" vertical="center"/>
    </xf>
    <xf numFmtId="0" fontId="52" fillId="0" borderId="1" xfId="0" quotePrefix="1" applyFont="1" applyBorder="1" applyAlignment="1">
      <alignment horizontal="center" vertical="center" wrapText="1"/>
    </xf>
    <xf numFmtId="0" fontId="0" fillId="6" borderId="1" xfId="0" applyFill="1" applyBorder="1">
      <alignment vertical="center"/>
    </xf>
    <xf numFmtId="0" fontId="0" fillId="6" borderId="1" xfId="0" applyFill="1" applyBorder="1" applyAlignment="1">
      <alignment horizontal="left" vertical="center"/>
    </xf>
    <xf numFmtId="172" fontId="0" fillId="0" borderId="0" xfId="0" applyNumberFormat="1">
      <alignment vertical="center"/>
    </xf>
    <xf numFmtId="0" fontId="4" fillId="0" borderId="0" xfId="144"/>
    <xf numFmtId="3" fontId="77" fillId="7" borderId="2" xfId="144" applyNumberFormat="1" applyFont="1" applyFill="1" applyBorder="1"/>
    <xf numFmtId="173" fontId="77" fillId="7" borderId="2" xfId="144" applyNumberFormat="1" applyFont="1" applyFill="1" applyBorder="1"/>
    <xf numFmtId="0" fontId="77" fillId="7" borderId="2" xfId="144" applyFont="1" applyFill="1" applyBorder="1"/>
    <xf numFmtId="3" fontId="4" fillId="0" borderId="3" xfId="144" applyNumberFormat="1" applyBorder="1"/>
    <xf numFmtId="3" fontId="4" fillId="8" borderId="3" xfId="144" applyNumberFormat="1" applyFill="1" applyBorder="1"/>
    <xf numFmtId="173" fontId="4" fillId="0" borderId="3" xfId="144" applyNumberFormat="1" applyBorder="1"/>
    <xf numFmtId="0" fontId="4" fillId="0" borderId="3" xfId="144" applyBorder="1"/>
    <xf numFmtId="3" fontId="4" fillId="9" borderId="3" xfId="144" applyNumberFormat="1" applyFill="1" applyBorder="1"/>
    <xf numFmtId="173" fontId="4" fillId="9" borderId="3" xfId="144" applyNumberFormat="1" applyFill="1" applyBorder="1"/>
    <xf numFmtId="0" fontId="4" fillId="9" borderId="3" xfId="144" applyFill="1" applyBorder="1"/>
    <xf numFmtId="3" fontId="4" fillId="10" borderId="3" xfId="144" applyNumberFormat="1" applyFill="1" applyBorder="1"/>
    <xf numFmtId="0" fontId="78" fillId="11" borderId="4" xfId="144" applyFont="1" applyFill="1" applyBorder="1" applyAlignment="1">
      <alignment horizontal="center" vertical="center" wrapText="1"/>
    </xf>
    <xf numFmtId="0" fontId="78" fillId="12" borderId="4" xfId="144" applyFont="1" applyFill="1" applyBorder="1" applyAlignment="1">
      <alignment horizontal="center" vertical="center" wrapText="1"/>
    </xf>
    <xf numFmtId="0" fontId="78" fillId="13" borderId="4" xfId="144" applyFont="1" applyFill="1" applyBorder="1" applyAlignment="1">
      <alignment horizontal="center" vertical="center" wrapText="1"/>
    </xf>
    <xf numFmtId="0" fontId="79" fillId="6" borderId="4" xfId="144" applyFont="1" applyFill="1" applyBorder="1" applyAlignment="1">
      <alignment horizontal="center" vertical="center" wrapText="1"/>
    </xf>
    <xf numFmtId="9" fontId="4" fillId="0" borderId="0" xfId="144" applyNumberFormat="1"/>
    <xf numFmtId="0" fontId="4" fillId="10" borderId="0" xfId="144" applyFill="1"/>
    <xf numFmtId="0" fontId="80" fillId="0" borderId="0" xfId="144" applyFont="1"/>
    <xf numFmtId="0" fontId="81" fillId="0" borderId="0" xfId="144" applyFont="1"/>
    <xf numFmtId="0" fontId="52" fillId="0" borderId="1" xfId="0" quotePrefix="1" applyFont="1" applyFill="1" applyBorder="1" applyAlignment="1">
      <alignment horizontal="center" vertical="center" wrapText="1"/>
    </xf>
    <xf numFmtId="0" fontId="52" fillId="0" borderId="1" xfId="0" applyFont="1" applyFill="1" applyBorder="1">
      <alignment vertical="center"/>
    </xf>
    <xf numFmtId="0" fontId="78" fillId="14" borderId="4" xfId="144" applyFont="1" applyFill="1" applyBorder="1" applyAlignment="1">
      <alignment horizontal="center" vertical="center" wrapText="1"/>
    </xf>
    <xf numFmtId="0" fontId="1" fillId="0" borderId="0" xfId="144" applyFont="1"/>
    <xf numFmtId="0" fontId="0" fillId="6" borderId="1" xfId="0" applyFill="1" applyBorder="1" applyAlignment="1">
      <alignment horizontal="center" vertical="center"/>
    </xf>
    <xf numFmtId="0" fontId="54" fillId="0" borderId="1" xfId="0" applyFont="1" applyBorder="1" applyAlignment="1">
      <alignment horizontal="center" vertical="center"/>
    </xf>
  </cellXfs>
  <cellStyles count="149">
    <cellStyle name="Comma" xfId="4" builtinId="3"/>
    <cellStyle name="Comma [0]" xfId="2" builtinId="6"/>
    <cellStyle name="Comma [0] 10" xfId="147" xr:uid="{7B03573F-9FCB-42EE-B220-38E2D8528868}"/>
    <cellStyle name="Comma [0] 2" xfId="13" xr:uid="{00000000-0005-0000-0000-00003B000000}"/>
    <cellStyle name="Comma [0] 2 2" xfId="75" xr:uid="{07D197FE-24D9-416B-BF57-55FAC8811114}"/>
    <cellStyle name="Comma [0] 3" xfId="3" xr:uid="{00000000-0005-0000-0000-000004000000}"/>
    <cellStyle name="Comma [0] 3 2" xfId="66" xr:uid="{103500B5-D342-4280-9CC4-795A3F54793B}"/>
    <cellStyle name="Comma [0] 4" xfId="14" xr:uid="{00000000-0005-0000-0000-00003C000000}"/>
    <cellStyle name="Comma [0] 4 2" xfId="76" xr:uid="{8EFDE8EE-A461-487A-BCF4-94AC733519C5}"/>
    <cellStyle name="Comma [0] 5" xfId="15" xr:uid="{00000000-0005-0000-0000-00003D000000}"/>
    <cellStyle name="Comma [0] 5 2" xfId="77" xr:uid="{B57A339B-5238-472D-A6F7-75E7D2C4BD19}"/>
    <cellStyle name="Comma [0] 6" xfId="25" xr:uid="{3B7138F7-35FF-41BF-982D-C09D88CAC5E7}"/>
    <cellStyle name="Comma [0] 6 2" xfId="87" xr:uid="{9E5E1588-AFE9-4EBB-A09A-D3BCD83A3A60}"/>
    <cellStyle name="Comma [0] 7" xfId="65" xr:uid="{571D0602-9362-4CAB-B9CF-C80E361B387D}"/>
    <cellStyle name="Comma [0] 8" xfId="128" xr:uid="{C0B583C3-EBFB-42A4-85D9-46FB5BA8D2CD}"/>
    <cellStyle name="Comma [0] 9" xfId="140" xr:uid="{FABBFDC7-26DE-4DD8-BCD6-F943ADF364A0}"/>
    <cellStyle name="Comma 2" xfId="12" xr:uid="{00000000-0005-0000-0000-00003A000000}"/>
    <cellStyle name="Comma 2 2" xfId="74" xr:uid="{82FBA8BF-8F7B-4F17-831B-BEFFA36710B3}"/>
    <cellStyle name="Comma 2 3" xfId="127" xr:uid="{F3799795-C507-4A05-8CD1-3BB6CC843E4F}"/>
    <cellStyle name="Comma 2 4" xfId="139" xr:uid="{D33753CD-8538-4CD0-8A79-4992994336C0}"/>
    <cellStyle name="Comma 2 5" xfId="146" xr:uid="{7BD85960-6A52-4CBF-99F2-1DD7A1BB22E4}"/>
    <cellStyle name="Comma 3" xfId="67" xr:uid="{7D77C7BE-135D-481A-B97A-854F8200EBED}"/>
    <cellStyle name="Comma 4" xfId="124" xr:uid="{7D724A0A-A1B3-4687-87A0-AA9040C9FD9C}"/>
    <cellStyle name="Comma 5" xfId="129" xr:uid="{242E0868-C1ED-4E95-8B11-11F07EA60D00}"/>
    <cellStyle name="Comma 6" xfId="141" xr:uid="{56EE9B16-826F-4B54-AB15-5A69FC79A7E7}"/>
    <cellStyle name="Comma 7" xfId="142" xr:uid="{3C29762B-4197-4397-835D-08CD49470E17}"/>
    <cellStyle name="Comma 8" xfId="143" xr:uid="{5E27E5E9-575D-4F44-ABF7-A2AA993E23D3}"/>
    <cellStyle name="Koma [0] 2" xfId="131" xr:uid="{71565242-C6FB-41E9-BE7B-A56F620324E6}"/>
    <cellStyle name="Koma 2" xfId="132" xr:uid="{EB2491D6-A7EE-4183-BD2A-1D44F35378D5}"/>
    <cellStyle name="Normal" xfId="0" builtinId="0"/>
    <cellStyle name="Normal 10" xfId="20" xr:uid="{04EACF98-7BB1-49EC-8E27-50F0E2E7382E}"/>
    <cellStyle name="Normal 10 2" xfId="82" xr:uid="{1F7B876C-E640-4A87-8F8E-F6D30BC89452}"/>
    <cellStyle name="Normal 11" xfId="21" xr:uid="{FF732EBA-434C-40BC-8AAF-120EF09F433D}"/>
    <cellStyle name="Normal 11 2" xfId="83" xr:uid="{FEC164CE-0C4E-467E-B28C-FD045842A342}"/>
    <cellStyle name="Normal 12" xfId="22" xr:uid="{385199C8-89DA-4CDB-A962-D8B30C879A77}"/>
    <cellStyle name="Normal 12 2" xfId="84" xr:uid="{4209BB82-90C1-4E7C-8E04-9D771F1208A7}"/>
    <cellStyle name="Normal 13" xfId="23" xr:uid="{C7599A50-4172-4C82-8073-86CEFBAE8AE7}"/>
    <cellStyle name="Normal 13 2" xfId="85" xr:uid="{9338465C-257C-4651-8150-6A37B51DE58C}"/>
    <cellStyle name="Normal 14" xfId="24" xr:uid="{E55B1FBA-1149-4A41-9C74-AAFFFB16E592}"/>
    <cellStyle name="Normal 14 2" xfId="86" xr:uid="{6865D27A-FE6C-4EE9-B4A6-D2E8F88CAB5D}"/>
    <cellStyle name="Normal 15" xfId="26" xr:uid="{52909A44-25F5-4259-A4A8-08B3297995E1}"/>
    <cellStyle name="Normal 15 2" xfId="88" xr:uid="{11CC5E91-7BFB-468D-ABB0-1A1E21F44460}"/>
    <cellStyle name="Normal 16" xfId="27" xr:uid="{8CC820E3-1CBE-4FD4-9797-9F0200A7E65D}"/>
    <cellStyle name="Normal 16 2" xfId="89" xr:uid="{A44D7399-4274-429B-9F42-69DEB812D67C}"/>
    <cellStyle name="Normal 17" xfId="28" xr:uid="{10B727E3-439C-475E-B1E1-5A26BE194C29}"/>
    <cellStyle name="Normal 17 2" xfId="90" xr:uid="{94A71FBD-0FDE-4505-83EA-183AD84D36D5}"/>
    <cellStyle name="Normal 18" xfId="29" xr:uid="{5D6E30B7-18B3-416A-9206-B631DC26FEA8}"/>
    <cellStyle name="Normal 18 2" xfId="91" xr:uid="{25F6051B-02D5-449E-A584-01C2ECF1CE34}"/>
    <cellStyle name="Normal 19" xfId="30" xr:uid="{987D0E69-3E71-42DD-9F43-9C7409E6B845}"/>
    <cellStyle name="Normal 19 2" xfId="92" xr:uid="{8467E839-DD64-4DC1-B861-8463C74D027F}"/>
    <cellStyle name="Normal 2" xfId="10" xr:uid="{00000000-0005-0000-0000-000032000000}"/>
    <cellStyle name="Normal 20" xfId="31" xr:uid="{DD278E53-DC9B-421C-9D97-947B493AC054}"/>
    <cellStyle name="Normal 20 2" xfId="93" xr:uid="{F4A5B7A7-6AB8-4508-ADB5-2F67B2DD0CFC}"/>
    <cellStyle name="Normal 21" xfId="32" xr:uid="{0505C4E6-31A2-4C74-B409-430E4FF79420}"/>
    <cellStyle name="Normal 21 2" xfId="94" xr:uid="{78184E56-3F16-44C1-A07D-7C1F672C626D}"/>
    <cellStyle name="Normal 22" xfId="33" xr:uid="{5F781B72-4F2F-49A4-81DD-781F7711EC60}"/>
    <cellStyle name="Normal 22 2" xfId="95" xr:uid="{F010E89D-E90C-48BE-843A-19F885455D7C}"/>
    <cellStyle name="Normal 23" xfId="34" xr:uid="{B9198AB8-D570-46CD-9E24-5AC9F557B880}"/>
    <cellStyle name="Normal 23 2" xfId="96" xr:uid="{53DA65F9-01FD-468A-87C8-A7A52101FA6F}"/>
    <cellStyle name="Normal 24" xfId="35" xr:uid="{4416A51A-EC04-4279-B81A-E66B60AA048F}"/>
    <cellStyle name="Normal 24 2" xfId="97" xr:uid="{41DBFA81-B870-48C8-B682-50CC3B700ED9}"/>
    <cellStyle name="Normal 25" xfId="36" xr:uid="{E6A8BD07-21ED-46D2-A97C-E8C4A6ED4547}"/>
    <cellStyle name="Normal 25 2" xfId="98" xr:uid="{1D3C87C6-B879-4711-A7DD-2E1081B1CB98}"/>
    <cellStyle name="Normal 26" xfId="37" xr:uid="{41A46E42-BE95-45DB-908A-3BFC0B25887B}"/>
    <cellStyle name="Normal 26 2" xfId="99" xr:uid="{38C88BD8-B893-4241-975A-42F20EC2EB19}"/>
    <cellStyle name="Normal 27" xfId="38" xr:uid="{D0A36D84-7192-4361-A0FA-6459F12C5E83}"/>
    <cellStyle name="Normal 27 2" xfId="100" xr:uid="{4F62B72B-8A4B-4B73-A7CB-EB0955BA5923}"/>
    <cellStyle name="Normal 28" xfId="39" xr:uid="{E990C0B0-E60C-42EE-AE19-0599E4D4ED4C}"/>
    <cellStyle name="Normal 28 2" xfId="101" xr:uid="{5FD04802-AF8E-4206-BB25-5FA72DB3F67E}"/>
    <cellStyle name="Normal 29" xfId="40" xr:uid="{830F502E-DCBD-443E-964B-1F5A6BEDA7C5}"/>
    <cellStyle name="Normal 29 2" xfId="102" xr:uid="{478A3518-9C7A-49C9-8289-BEA5A62C2A18}"/>
    <cellStyle name="Normal 3" xfId="11" xr:uid="{00000000-0005-0000-0000-000036000000}"/>
    <cellStyle name="Normal 3 2" xfId="73" xr:uid="{A3F28485-DC35-4B9D-80EE-6A40F464C08B}"/>
    <cellStyle name="Normal 3 3" xfId="126" xr:uid="{F5C7D4A2-94E3-4B63-9CAA-CF6A667F9CF0}"/>
    <cellStyle name="Normal 3 4" xfId="138" xr:uid="{B63DF728-8ED8-4EA9-901C-198408BF01FD}"/>
    <cellStyle name="Normal 3 5" xfId="145" xr:uid="{9F2387F3-BB8D-4D42-8021-62D8D7D36AFC}"/>
    <cellStyle name="Normal 30" xfId="41" xr:uid="{23D7769C-B96A-4D1C-AFBC-109D122CDC22}"/>
    <cellStyle name="Normal 30 2" xfId="103" xr:uid="{051A4DF2-A65A-4841-9807-659FB11BA047}"/>
    <cellStyle name="Normal 31" xfId="42" xr:uid="{A08FDBF7-6A35-4BFF-9DE9-1B4AEA1986B1}"/>
    <cellStyle name="Normal 31 2" xfId="104" xr:uid="{2450B098-2CFB-41CE-8582-E8192763ECD9}"/>
    <cellStyle name="Normal 32" xfId="43" xr:uid="{F2E52E96-BC1E-4883-BB9E-CD1B75431EFB}"/>
    <cellStyle name="Normal 32 2" xfId="105" xr:uid="{BBC418EC-1079-4230-9ABA-E3914E732DB7}"/>
    <cellStyle name="Normal 33" xfId="44" xr:uid="{BE2574E6-5AE3-4A23-87A1-629560751D5D}"/>
    <cellStyle name="Normal 33 2" xfId="106" xr:uid="{F2FA4078-F422-4C67-BBD9-A4F0D5058038}"/>
    <cellStyle name="Normal 34" xfId="45" xr:uid="{0BE9F80E-31C9-49C5-A18E-D4D9CB4A18C2}"/>
    <cellStyle name="Normal 34 2" xfId="107" xr:uid="{FDF462A0-FC02-4084-9FF2-3A6AA8F06552}"/>
    <cellStyle name="Normal 35" xfId="46" xr:uid="{12A714D3-3111-4676-A695-40BC8DFBDBA4}"/>
    <cellStyle name="Normal 35 2" xfId="108" xr:uid="{0910E318-DB7E-4B70-9DE4-6B31C9E7E273}"/>
    <cellStyle name="Normal 36" xfId="47" xr:uid="{452F494E-B3C8-4178-BCED-CCC313DFD4CF}"/>
    <cellStyle name="Normal 36 2" xfId="109" xr:uid="{B82B9F14-B7F3-4A96-973E-40842A8C0E35}"/>
    <cellStyle name="Normal 37" xfId="48" xr:uid="{4AB015EE-6203-4317-8A1B-9FC18E827E16}"/>
    <cellStyle name="Normal 37 2" xfId="110" xr:uid="{3862D19A-A1AA-45D2-AE24-EA508305CB3A}"/>
    <cellStyle name="Normal 38" xfId="49" xr:uid="{9D2CA18A-CC2C-4271-BD56-D762006D8DA6}"/>
    <cellStyle name="Normal 38 2" xfId="111" xr:uid="{75FA69A9-8DBE-4663-B92A-A62410969009}"/>
    <cellStyle name="Normal 39" xfId="50" xr:uid="{E6476FA6-764D-49B8-9930-E5C688E7BA94}"/>
    <cellStyle name="Normal 39 2" xfId="112" xr:uid="{2013B766-844B-42C0-B652-47D33D400107}"/>
    <cellStyle name="Normal 4" xfId="8" xr:uid="{00000000-0005-0000-0000-00001D000000}"/>
    <cellStyle name="Normal 4 2" xfId="71" xr:uid="{0230BDAE-D8A6-430E-A71B-FBD0811E93B8}"/>
    <cellStyle name="Normal 40" xfId="51" xr:uid="{9B40C9AF-D1BC-412F-B86D-8DAD471B80BB}"/>
    <cellStyle name="Normal 40 2" xfId="113" xr:uid="{7463DB89-522E-4C86-A773-1D6C5A0950FB}"/>
    <cellStyle name="Normal 41" xfId="52" xr:uid="{C1125A4F-7965-4218-9B10-08E236D5853D}"/>
    <cellStyle name="Normal 41 2" xfId="114" xr:uid="{DD1D220A-3C98-4968-9FC7-94B662E123B9}"/>
    <cellStyle name="Normal 42" xfId="53" xr:uid="{77E80AA6-55A1-4305-A0EC-BF55E09442A6}"/>
    <cellStyle name="Normal 42 2" xfId="115" xr:uid="{3B85B45E-D301-4752-A72E-9796DF6DE7CC}"/>
    <cellStyle name="Normal 43" xfId="54" xr:uid="{4D1DA2B0-8057-4446-8B71-ADA707B3C567}"/>
    <cellStyle name="Normal 43 2" xfId="116" xr:uid="{1DE9E7CE-84AF-4A32-8D72-C31578DE022A}"/>
    <cellStyle name="Normal 44" xfId="55" xr:uid="{29A95876-FF88-46F4-B3BD-AD378A23D3EF}"/>
    <cellStyle name="Normal 44 2" xfId="117" xr:uid="{E90490F3-1921-4C28-A32C-AC83A24A2A28}"/>
    <cellStyle name="Normal 45" xfId="56" xr:uid="{3FE26165-CA0B-48FC-A50D-56584E258B52}"/>
    <cellStyle name="Normal 45 2" xfId="118" xr:uid="{F10B0005-B57F-4CA1-BA10-F243F2500F69}"/>
    <cellStyle name="Normal 46" xfId="57" xr:uid="{C4FE7566-0E07-4624-80D0-C7B629F65FDD}"/>
    <cellStyle name="Normal 46 2" xfId="119" xr:uid="{0690131E-D3B8-4569-8B31-319C98DD70D0}"/>
    <cellStyle name="Normal 47" xfId="58" xr:uid="{F85D70D4-3F7E-449F-A2BB-D513A5147ABB}"/>
    <cellStyle name="Normal 47 2" xfId="120" xr:uid="{EA3C386B-0658-46A8-8647-A6A1D4900EBB}"/>
    <cellStyle name="Normal 48" xfId="59" xr:uid="{A38B3EC2-3971-4233-A1C9-821221B797F1}"/>
    <cellStyle name="Normal 48 2" xfId="121" xr:uid="{CB860C2D-6B8E-421C-A314-81FBF1112979}"/>
    <cellStyle name="Normal 49" xfId="60" xr:uid="{D8246A2A-D616-444F-A9FF-D2A94B93C55D}"/>
    <cellStyle name="Normal 49 2" xfId="122" xr:uid="{8480FCB1-F76B-48B9-9907-952E2E0DA5A8}"/>
    <cellStyle name="Normal 5" xfId="9" xr:uid="{00000000-0005-0000-0000-000024000000}"/>
    <cellStyle name="Normal 5 2" xfId="72" xr:uid="{93D5B60A-7C5E-46B1-A532-35356AC2186F}"/>
    <cellStyle name="Normal 50" xfId="61" xr:uid="{34BE21B0-8480-4DED-A318-691357E1E45D}"/>
    <cellStyle name="Normal 50 2" xfId="123" xr:uid="{0FD9144D-2179-45EC-9B7D-76A2112E2067}"/>
    <cellStyle name="Normal 51" xfId="62" xr:uid="{53CACCA4-C39F-4196-8B53-782C5A34004F}"/>
    <cellStyle name="Normal 52" xfId="63" xr:uid="{1895BCE7-EC61-49D0-B81D-F2048BA3311E}"/>
    <cellStyle name="Normal 53" xfId="125" xr:uid="{9D883BC8-A78A-46ED-A39A-1F3972DCD1E1}"/>
    <cellStyle name="Normal 54" xfId="130" xr:uid="{CBF46729-73A3-402E-AAD1-2796B49C2FE8}"/>
    <cellStyle name="Normal 55" xfId="133" xr:uid="{9FB94448-B0A7-4D65-BED1-829BD6629E08}"/>
    <cellStyle name="Normal 56" xfId="135" xr:uid="{02787B5C-4FF1-430D-989E-8FE51FDFB2A1}"/>
    <cellStyle name="Normal 57" xfId="137" xr:uid="{40FF06A0-5320-485A-A669-4E8F90904DA5}"/>
    <cellStyle name="Normal 58" xfId="144" xr:uid="{56289986-98CF-4A99-B991-3190BE9EFDDC}"/>
    <cellStyle name="Normal 59" xfId="148" xr:uid="{665FCD77-8B71-46B1-9BDB-3BB7B502DD05}"/>
    <cellStyle name="Normal 6" xfId="16" xr:uid="{00000000-0005-0000-0000-00003E000000}"/>
    <cellStyle name="Normal 6 2" xfId="78" xr:uid="{01FE3B3C-D26F-405E-BE1D-EB96216E12ED}"/>
    <cellStyle name="Normal 62" xfId="136" xr:uid="{95B3D2B5-C2E7-4B3E-A195-21B6F5303232}"/>
    <cellStyle name="Normal 65" xfId="134" xr:uid="{BCA168F7-7B5D-4DFD-B2A8-BBF80D2C2444}"/>
    <cellStyle name="Normal 7" xfId="17" xr:uid="{DDCF5E5B-417D-4F15-913B-51A7E788B182}"/>
    <cellStyle name="Normal 7 2" xfId="79" xr:uid="{19259D24-37F0-4BC4-A03F-628A579F585C}"/>
    <cellStyle name="Normal 8" xfId="18" xr:uid="{62FF92B0-C018-420A-88A4-FCD44E67EFFE}"/>
    <cellStyle name="Normal 8 2" xfId="80" xr:uid="{63423B13-AB9F-49F4-BBE7-F196A06FBBD8}"/>
    <cellStyle name="Normal 9" xfId="19" xr:uid="{766F811B-27A4-41C7-BF6F-CA8D80583864}"/>
    <cellStyle name="Normal 9 2" xfId="81" xr:uid="{BEC216CA-9D93-43DD-A470-CF48C78BF7B4}"/>
    <cellStyle name="Percent 2" xfId="7" xr:uid="{00000000-0005-0000-0000-000019000000}"/>
    <cellStyle name="Percent 2 2" xfId="70" xr:uid="{5D832803-0C7E-4702-BAED-3DD84938E2B4}"/>
    <cellStyle name="Percent 3" xfId="6" xr:uid="{00000000-0005-0000-0000-000014000000}"/>
    <cellStyle name="Percent 3 2" xfId="69" xr:uid="{FAE5CD17-A3A1-4187-BC90-7F7EC660162E}"/>
    <cellStyle name="Percent 4" xfId="1" xr:uid="{00000000-0005-0000-0000-000001000000}"/>
    <cellStyle name="Percent 4 2" xfId="64" xr:uid="{2A7F57D1-1CC3-4901-81EF-C95A7CA46482}"/>
    <cellStyle name="Percent 5" xfId="5" xr:uid="{00000000-0005-0000-0000-00000B000000}"/>
    <cellStyle name="Percent 5 2" xfId="68" xr:uid="{ACE8D656-6B84-4E29-86F0-2BC67C1149AF}"/>
  </cellStyles>
  <dxfs count="7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numFmt numFmtId="172" formatCode="_-&quot;Rp&quot;* #,##0_-;\-&quot;Rp&quot;* #,##0_-;_-&quot;Rp&quot;* &quot;-&quot;??_-;_-@_-"/>
    </dxf>
    <dxf>
      <numFmt numFmtId="172" formatCode="_-&quot;Rp&quot;* #,##0_-;\-&quot;Rp&quot;* #,##0_-;_-&quot;Rp&quot;* &quot;-&quot;??_-;_-@_-"/>
    </dxf>
    <dxf>
      <numFmt numFmtId="172" formatCode="_-&quot;Rp&quot;* #,##0_-;\-&quot;Rp&quot;* #,##0_-;_-&quot;Rp&quot;* &quot;-&quot;??_-;_-@_-"/>
    </dxf>
    <dxf>
      <font>
        <b/>
        <i val="0"/>
      </font>
      <fill>
        <patternFill patternType="solid">
          <bgColor rgb="FFD7D7D7"/>
        </patternFill>
      </fill>
    </dxf>
    <dxf>
      <font>
        <b val="0"/>
        <i val="0"/>
      </font>
      <fill>
        <patternFill patternType="none"/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6"/>
      <tableStyleElement type="headerRow" dxfId="5"/>
    </tableStyle>
  </tableStyles>
  <colors>
    <mruColors>
      <color rgb="FF7EDFF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0</xdr:colOff>
      <xdr:row>0</xdr:row>
      <xdr:rowOff>110435</xdr:rowOff>
    </xdr:from>
    <xdr:to>
      <xdr:col>26</xdr:col>
      <xdr:colOff>0</xdr:colOff>
      <xdr:row>3</xdr:row>
      <xdr:rowOff>1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56788050" y="109855"/>
          <a:ext cx="0" cy="14668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4000" b="1" i="1"/>
            <a:t>RUMUS</a:t>
          </a:r>
          <a:endParaRPr lang="en-US" sz="4000" b="1" i="1" baseline="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ministrator" refreshedDate="46168.522348379629" createdVersion="7" refreshedVersion="7" minRefreshableVersion="3" recordCount="1608" xr:uid="{D0268506-A709-41E3-A855-EB17F00960F7}">
  <cacheSource type="worksheet">
    <worksheetSource ref="A1:AV1609" sheet="Rincian Faktur Penjualan ol"/>
  </cacheSource>
  <cacheFields count="48">
    <cacheField name="i" numFmtId="0">
      <sharedItems containsNonDate="0" containsString="0" containsBlank="1"/>
    </cacheField>
    <cacheField name="TGL FAKTUR" numFmtId="169">
      <sharedItems containsSemiMixedTypes="0" containsNonDate="0" containsDate="1" containsString="0" minDate="2026-04-24T00:00:00" maxDate="2026-05-24T00:00:00" count="30"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</sharedItems>
    </cacheField>
    <cacheField name="i2" numFmtId="0">
      <sharedItems containsNonDate="0" containsString="0" containsBlank="1"/>
    </cacheField>
    <cacheField name="NO FAKTUR" numFmtId="0">
      <sharedItems/>
    </cacheField>
    <cacheField name="i3" numFmtId="0">
      <sharedItems containsNonDate="0" containsString="0" containsBlank="1"/>
    </cacheField>
    <cacheField name="Nomor # Pengiriman Pesanan" numFmtId="0">
      <sharedItems containsBlank="1"/>
    </cacheField>
    <cacheField name="i4" numFmtId="0">
      <sharedItems containsNonDate="0" containsString="0" containsBlank="1"/>
    </cacheField>
    <cacheField name="Tanggal Pengiriman Pesanan" numFmtId="169">
      <sharedItems containsNonDate="0" containsDate="1" containsString="0" containsBlank="1" minDate="2024-11-14T00:00:00" maxDate="2026-05-24T00:00:00"/>
    </cacheField>
    <cacheField name="i5" numFmtId="0">
      <sharedItems containsNonDate="0" containsString="0" containsBlank="1"/>
    </cacheField>
    <cacheField name="KATEGORI PELANGGAN" numFmtId="0">
      <sharedItems containsBlank="1"/>
    </cacheField>
    <cacheField name="i6" numFmtId="0">
      <sharedItems containsNonDate="0" containsString="0" containsBlank="1"/>
    </cacheField>
    <cacheField name="ID PELANGGAN" numFmtId="0">
      <sharedItems/>
    </cacheField>
    <cacheField name="i7" numFmtId="0">
      <sharedItems containsNonDate="0" containsString="0" containsBlank="1"/>
    </cacheField>
    <cacheField name="NAMA CUSTOMER" numFmtId="0">
      <sharedItems/>
    </cacheField>
    <cacheField name="i8" numFmtId="0">
      <sharedItems containsNonDate="0" containsString="0" containsBlank="1"/>
    </cacheField>
    <cacheField name="NAMA ADMIN" numFmtId="0">
      <sharedItems containsBlank="1"/>
    </cacheField>
    <cacheField name="i9" numFmtId="0">
      <sharedItems containsNonDate="0" containsString="0" containsBlank="1"/>
    </cacheField>
    <cacheField name="KATEGORI PENJUALAN" numFmtId="0">
      <sharedItems/>
    </cacheField>
    <cacheField name="i10" numFmtId="0">
      <sharedItems containsNonDate="0" containsString="0" containsBlank="1"/>
    </cacheField>
    <cacheField name="KATEGORI BARANG" numFmtId="0">
      <sharedItems count="7">
        <s v="Jasa"/>
        <s v="Sparepart"/>
        <s v="Aksesoris"/>
        <s v="Handphone"/>
        <s v="PARFUM"/>
        <s v="Laptop"/>
        <s v="Umum"/>
      </sharedItems>
    </cacheField>
    <cacheField name="i11" numFmtId="0">
      <sharedItems containsNonDate="0" containsString="0" containsBlank="1"/>
    </cacheField>
    <cacheField name="NAMA TEKNISI" numFmtId="0">
      <sharedItems containsBlank="1"/>
    </cacheField>
    <cacheField name="i12" numFmtId="0">
      <sharedItems containsNonDate="0" containsString="0" containsBlank="1"/>
    </cacheField>
    <cacheField name="NAMA TEKNISI (FINAL)" numFmtId="0">
      <sharedItems count="9">
        <s v="ARI MARWAN"/>
        <s v="MUSTOFA"/>
        <s v="EKO RISDIYANTORO JATIMULYA"/>
        <s v="ABDUL MUNAJAT"/>
        <s v="YUVI NOFERIANTO"/>
        <s v="N/A"/>
        <s v="ARIFIN SANTOSO JATIMULYA"/>
        <s v="AGUS FIRMANSYAH"/>
        <s v="BOY RIKARDO"/>
      </sharedItems>
    </cacheField>
    <cacheField name="i13" numFmtId="0">
      <sharedItems containsNonDate="0" containsString="0" containsBlank="1"/>
    </cacheField>
    <cacheField name="YANG MENYERAHKAN/MENJUAL" numFmtId="0">
      <sharedItems/>
    </cacheField>
    <cacheField name="i14" numFmtId="0">
      <sharedItems containsNonDate="0" containsString="0" containsBlank="1"/>
    </cacheField>
    <cacheField name="KERUSAKAN UTAMA" numFmtId="0">
      <sharedItems containsBlank="1"/>
    </cacheField>
    <cacheField name="i15" numFmtId="0">
      <sharedItems containsNonDate="0" containsString="0" containsBlank="1"/>
    </cacheField>
    <cacheField name="MERK UNIT" numFmtId="0">
      <sharedItems containsBlank="1"/>
    </cacheField>
    <cacheField name="i16" numFmtId="0">
      <sharedItems containsNonDate="0" containsString="0" containsBlank="1"/>
    </cacheField>
    <cacheField name="TIPE UNIT" numFmtId="0">
      <sharedItems containsBlank="1"/>
    </cacheField>
    <cacheField name="i17" numFmtId="0">
      <sharedItems containsNonDate="0" containsString="0" containsBlank="1"/>
    </cacheField>
    <cacheField name="KODE BARANG" numFmtId="0">
      <sharedItems/>
    </cacheField>
    <cacheField name="i18" numFmtId="0">
      <sharedItems containsNonDate="0" containsString="0" containsBlank="1"/>
    </cacheField>
    <cacheField name="NAMA BARANG" numFmtId="0">
      <sharedItems/>
    </cacheField>
    <cacheField name="i19" numFmtId="0">
      <sharedItems containsNonDate="0" containsString="0" containsBlank="1"/>
    </cacheField>
    <cacheField name="HARGA BELI" numFmtId="170">
      <sharedItems containsSemiMixedTypes="0" containsString="0" containsNumber="1" minValue="0" maxValue="60000000"/>
    </cacheField>
    <cacheField name="i20" numFmtId="0">
      <sharedItems containsNonDate="0" containsString="0" containsBlank="1"/>
    </cacheField>
    <cacheField name="QTY" numFmtId="170">
      <sharedItems containsSemiMixedTypes="0" containsString="0" containsNumber="1" containsInteger="1" minValue="1" maxValue="6"/>
    </cacheField>
    <cacheField name="i21" numFmtId="0">
      <sharedItems containsNonDate="0" containsString="0" containsBlank="1"/>
    </cacheField>
    <cacheField name="@HARGA" numFmtId="170">
      <sharedItems containsSemiMixedTypes="0" containsString="0" containsNumber="1" containsInteger="1" minValue="5000" maxValue="10300000"/>
    </cacheField>
    <cacheField name="i22" numFmtId="0">
      <sharedItems containsNonDate="0" containsString="0" containsBlank="1"/>
    </cacheField>
    <cacheField name="TOTAL HARGA" numFmtId="170">
      <sharedItems containsSemiMixedTypes="0" containsString="0" containsNumber="1" containsInteger="1" minValue="5000" maxValue="61800000"/>
    </cacheField>
    <cacheField name="i23" numFmtId="0">
      <sharedItems containsNonDate="0" containsString="0" containsBlank="1"/>
    </cacheField>
    <cacheField name="Nama Default Penjual Pelanggan Faktur Penjualan" numFmtId="0">
      <sharedItems containsBlank="1"/>
    </cacheField>
    <cacheField name="i24" numFmtId="0">
      <sharedItems containsNonDate="0" containsString="0" containsBlank="1"/>
    </cacheField>
    <cacheField name="KODE PROMO Faktur Penjualan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08">
  <r>
    <m/>
    <x v="0"/>
    <m/>
    <s v="MF-FP.24655"/>
    <m/>
    <s v="MF-ST.22102"/>
    <m/>
    <d v="2026-04-22T00:00:00"/>
    <m/>
    <s v="Umum"/>
    <m/>
    <s v="C.05237"/>
    <m/>
    <s v="RISMA"/>
    <m/>
    <s v="WAHYU PRATAMA"/>
    <m/>
    <s v="SERVICE HANDPHONE"/>
    <m/>
    <x v="0"/>
    <m/>
    <s v="ARI MARWAN"/>
    <m/>
    <x v="0"/>
    <m/>
    <s v="HANIF"/>
    <m/>
    <s v="LCD"/>
    <m/>
    <s v="OPPO"/>
    <m/>
    <s v="RENO 8"/>
    <m/>
    <s v="JASA71"/>
    <m/>
    <s v="JASA REPAIR"/>
    <m/>
    <n v="0"/>
    <m/>
    <n v="1"/>
    <m/>
    <n v="200000"/>
    <m/>
    <n v="200000"/>
    <m/>
    <m/>
    <m/>
    <s v="N/A"/>
  </r>
  <r>
    <m/>
    <x v="0"/>
    <m/>
    <s v="MF-FP.24655"/>
    <m/>
    <s v="MF-ST.22102"/>
    <m/>
    <d v="2026-04-22T00:00:00"/>
    <m/>
    <s v="Umum"/>
    <m/>
    <s v="C.05237"/>
    <m/>
    <s v="RISMA"/>
    <m/>
    <s v="WAHYU PRATAMA"/>
    <m/>
    <s v="SERVICE HANDPHONE"/>
    <m/>
    <x v="1"/>
    <m/>
    <s v="ARI MARWAN"/>
    <m/>
    <x v="0"/>
    <m/>
    <s v="HANIF"/>
    <m/>
    <s v="LCD"/>
    <m/>
    <s v="OPPO"/>
    <m/>
    <s v="RENO 8"/>
    <m/>
    <s v="101651"/>
    <m/>
    <s v="LCD.. RLM 9 4G/RLM 9 PRO PLUS/RLM 9 PRO/RLM 10 4G/OPP RENO 7/7Z/RENO 8/RENO 8T B FST"/>
    <m/>
    <n v="152510.767658"/>
    <m/>
    <n v="1"/>
    <m/>
    <n v="225000"/>
    <m/>
    <n v="225000"/>
    <m/>
    <m/>
    <m/>
    <s v="N/A"/>
  </r>
  <r>
    <m/>
    <x v="0"/>
    <m/>
    <s v="MF-FP.24655"/>
    <m/>
    <s v="MF-ST.22102"/>
    <m/>
    <d v="2026-04-22T00:00:00"/>
    <m/>
    <s v="Umum"/>
    <m/>
    <s v="C.05237"/>
    <m/>
    <s v="RISMA"/>
    <m/>
    <s v="WAHYU PRATAMA"/>
    <m/>
    <s v="SERVICE HANDPHONE"/>
    <m/>
    <x v="2"/>
    <m/>
    <s v="ARI MARWAN"/>
    <m/>
    <x v="0"/>
    <m/>
    <s v="HANIF"/>
    <m/>
    <s v="LCD"/>
    <m/>
    <s v="OPPO"/>
    <m/>
    <s v="RENO 8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0"/>
    <m/>
    <s v="MF-FP.24657"/>
    <m/>
    <s v="MF-ST.22151"/>
    <m/>
    <d v="2026-04-24T00:00:00"/>
    <m/>
    <s v="Umum"/>
    <m/>
    <s v="C.13074"/>
    <m/>
    <s v="PRAYOGA"/>
    <m/>
    <s v="HANIF"/>
    <m/>
    <s v="SERVICE HANDPHONE"/>
    <m/>
    <x v="0"/>
    <m/>
    <s v="MUSTOFA"/>
    <m/>
    <x v="1"/>
    <m/>
    <s v="HANIF"/>
    <m/>
    <s v="BATERAI"/>
    <m/>
    <s v="OPPO"/>
    <m/>
    <s v="Oppo A52"/>
    <m/>
    <s v="JASA71"/>
    <m/>
    <s v="JASA REPAIR"/>
    <m/>
    <n v="0"/>
    <m/>
    <n v="1"/>
    <m/>
    <n v="150000"/>
    <m/>
    <n v="150000"/>
    <m/>
    <m/>
    <m/>
    <s v="N/A"/>
  </r>
  <r>
    <m/>
    <x v="0"/>
    <m/>
    <s v="MF-FP.24657"/>
    <m/>
    <s v="MF-ST.22151"/>
    <m/>
    <d v="2026-04-24T00:00:00"/>
    <m/>
    <s v="Umum"/>
    <m/>
    <s v="C.13074"/>
    <m/>
    <s v="PRAYOGA"/>
    <m/>
    <s v="HANIF"/>
    <m/>
    <s v="SERVICE HANDPHONE"/>
    <m/>
    <x v="1"/>
    <m/>
    <s v="MUSTOFA"/>
    <m/>
    <x v="1"/>
    <m/>
    <s v="HANIF"/>
    <m/>
    <s v="BATERAI"/>
    <m/>
    <s v="OPPO"/>
    <m/>
    <s v="Oppo A52"/>
    <m/>
    <s v="102556"/>
    <m/>
    <s v="BATER OPP A52/A92 BLP781"/>
    <m/>
    <n v="83220"/>
    <m/>
    <n v="1"/>
    <m/>
    <n v="125000"/>
    <m/>
    <n v="125000"/>
    <m/>
    <m/>
    <m/>
    <s v="N/A"/>
  </r>
  <r>
    <m/>
    <x v="0"/>
    <m/>
    <s v="MF-FP.24657"/>
    <m/>
    <s v="MF-ST.22151"/>
    <m/>
    <d v="2026-04-24T00:00:00"/>
    <m/>
    <s v="Umum"/>
    <m/>
    <s v="C.13074"/>
    <m/>
    <s v="PRAYOGA"/>
    <m/>
    <s v="HANIF"/>
    <m/>
    <s v="SERVICE HANDPHONE"/>
    <m/>
    <x v="2"/>
    <m/>
    <s v="MUSTOFA"/>
    <m/>
    <x v="1"/>
    <m/>
    <s v="HANIF"/>
    <m/>
    <s v="BATERAI"/>
    <m/>
    <s v="OPPO"/>
    <m/>
    <s v="Oppo A52"/>
    <m/>
    <s v="AKOR-014"/>
    <m/>
    <s v="ORAIMO CABLE TYPE-C 2A OCD-114C"/>
    <m/>
    <n v="15000"/>
    <m/>
    <n v="1"/>
    <m/>
    <n v="25000"/>
    <m/>
    <n v="25000"/>
    <m/>
    <m/>
    <m/>
    <s v="N/A"/>
  </r>
  <r>
    <m/>
    <x v="0"/>
    <m/>
    <s v="MF-FP.24659"/>
    <m/>
    <s v="MF-ST.22153"/>
    <m/>
    <d v="2026-04-24T00:00:00"/>
    <m/>
    <s v="Umum"/>
    <m/>
    <s v="C.13075"/>
    <m/>
    <s v="ZAFRAN"/>
    <m/>
    <s v="HANIF"/>
    <m/>
    <s v="SERVICE HANDPHONE"/>
    <m/>
    <x v="0"/>
    <m/>
    <s v="EKO RISDIYANTORO JATIMULYA"/>
    <m/>
    <x v="2"/>
    <m/>
    <s v="HANIF"/>
    <m/>
    <s v="HARDWARE"/>
    <m/>
    <s v="OPPO"/>
    <m/>
    <s v="A3S"/>
    <m/>
    <s v="JASA71"/>
    <m/>
    <s v="JASA REPAIR"/>
    <m/>
    <n v="0"/>
    <m/>
    <n v="1"/>
    <m/>
    <n v="80000"/>
    <m/>
    <n v="80000"/>
    <m/>
    <m/>
    <m/>
    <s v="N/A"/>
  </r>
  <r>
    <m/>
    <x v="0"/>
    <m/>
    <s v="MF-FP.24659"/>
    <m/>
    <s v="MF-ST.22153"/>
    <m/>
    <d v="2026-04-24T00:00:00"/>
    <m/>
    <s v="Umum"/>
    <m/>
    <s v="C.13075"/>
    <m/>
    <s v="ZAFRAN"/>
    <m/>
    <s v="HANIF"/>
    <m/>
    <s v="SERVICE HANDPHONE"/>
    <m/>
    <x v="1"/>
    <m/>
    <s v="EKO RISDIYANTORO JATIMULYA"/>
    <m/>
    <x v="2"/>
    <m/>
    <s v="HANIF"/>
    <m/>
    <s v="HARDWARE"/>
    <m/>
    <s v="OPPO"/>
    <m/>
    <s v="A3S"/>
    <m/>
    <s v="101441"/>
    <m/>
    <s v="PERNIK TBL O/F + VLM OPP A3s B"/>
    <m/>
    <n v="5714.2857139999996"/>
    <m/>
    <n v="1"/>
    <m/>
    <n v="20000"/>
    <m/>
    <n v="20000"/>
    <m/>
    <m/>
    <m/>
    <s v="N/A"/>
  </r>
  <r>
    <m/>
    <x v="0"/>
    <m/>
    <s v="MF-FP.24659"/>
    <m/>
    <s v="MF-ST.22153"/>
    <m/>
    <d v="2026-04-24T00:00:00"/>
    <m/>
    <s v="Umum"/>
    <m/>
    <s v="C.13075"/>
    <m/>
    <s v="ZAFRAN"/>
    <m/>
    <s v="HANIF"/>
    <m/>
    <s v="SERVICE HANDPHONE"/>
    <m/>
    <x v="2"/>
    <m/>
    <s v="EKO RISDIYANTORO JATIMULYA"/>
    <m/>
    <x v="2"/>
    <m/>
    <s v="HANIF"/>
    <m/>
    <s v="HARDWARE"/>
    <m/>
    <s v="OPPO"/>
    <m/>
    <s v="A3S"/>
    <m/>
    <s v="AKOR-014"/>
    <m/>
    <s v="ORAIMO CABLE TYPE-C 2A OCD-114C"/>
    <m/>
    <n v="15000"/>
    <m/>
    <n v="1"/>
    <m/>
    <n v="20000"/>
    <m/>
    <n v="20000"/>
    <m/>
    <m/>
    <m/>
    <s v="N/A"/>
  </r>
  <r>
    <m/>
    <x v="0"/>
    <m/>
    <s v="MF-FP.24660"/>
    <m/>
    <s v="MF-ST.22041"/>
    <m/>
    <d v="2026-04-20T00:00:00"/>
    <m/>
    <s v="Umum"/>
    <m/>
    <s v="C.13024"/>
    <m/>
    <s v="SYAFRI"/>
    <m/>
    <s v="WAHYU PRATAMA"/>
    <m/>
    <s v="SERVICE LAPTOP"/>
    <m/>
    <x v="0"/>
    <m/>
    <s v="ABDUL MUNAJAT"/>
    <m/>
    <x v="3"/>
    <m/>
    <s v="HANIF"/>
    <m/>
    <s v="MATI TOTAL"/>
    <m/>
    <s v="ACER"/>
    <m/>
    <s v="Acer aspire 3 15 inch"/>
    <m/>
    <s v="JASA71"/>
    <m/>
    <s v="JASA REPAIR"/>
    <m/>
    <n v="0"/>
    <m/>
    <n v="1"/>
    <m/>
    <n v="1780000"/>
    <m/>
    <n v="1780000"/>
    <m/>
    <m/>
    <m/>
    <s v="N/A"/>
  </r>
  <r>
    <m/>
    <x v="0"/>
    <m/>
    <s v="MF-FP.24660"/>
    <m/>
    <s v="MF-ST.22041"/>
    <m/>
    <d v="2026-04-20T00:00:00"/>
    <m/>
    <s v="Umum"/>
    <m/>
    <s v="C.13024"/>
    <m/>
    <s v="SYAFRI"/>
    <m/>
    <s v="WAHYU PRATAMA"/>
    <m/>
    <s v="SERVICE LAPTOP"/>
    <m/>
    <x v="2"/>
    <m/>
    <s v="ABDUL MUNAJAT"/>
    <m/>
    <x v="3"/>
    <m/>
    <s v="HANIF"/>
    <m/>
    <s v="MATI TOTAL"/>
    <m/>
    <s v="ACER"/>
    <m/>
    <s v="Acer aspire 3 15 inch"/>
    <m/>
    <s v="AKOR-014"/>
    <m/>
    <s v="ORAIMO CABLE TYPE-C 2A OCD-114C"/>
    <m/>
    <n v="15000"/>
    <m/>
    <n v="1"/>
    <m/>
    <n v="20000"/>
    <m/>
    <n v="20000"/>
    <m/>
    <m/>
    <m/>
    <s v="N/A"/>
  </r>
  <r>
    <m/>
    <x v="0"/>
    <m/>
    <s v="MF-FP.24662"/>
    <m/>
    <s v="MF-ST.22157"/>
    <m/>
    <d v="2026-04-24T00:00:00"/>
    <m/>
    <s v="Member Reguler"/>
    <m/>
    <s v="C.01478"/>
    <m/>
    <s v="SHAFIRA"/>
    <m/>
    <s v="Achmad Indrawanto"/>
    <m/>
    <s v="SERVICE HANDPHONE"/>
    <m/>
    <x v="0"/>
    <m/>
    <s v="YUVI NOFERIANTO"/>
    <m/>
    <x v="4"/>
    <m/>
    <s v="Achmad Indrawanto"/>
    <m/>
    <s v="BATERAI"/>
    <m/>
    <s v="APPLE"/>
    <m/>
    <s v="Iphone 11"/>
    <m/>
    <s v="JASA71"/>
    <m/>
    <s v="JASA REPAIR"/>
    <m/>
    <n v="0"/>
    <m/>
    <n v="1"/>
    <m/>
    <n v="185000"/>
    <m/>
    <n v="185000"/>
    <m/>
    <s v="Achmad Indrawanto"/>
    <m/>
    <s v="N/A"/>
  </r>
  <r>
    <m/>
    <x v="0"/>
    <m/>
    <s v="MF-FP.24662"/>
    <m/>
    <s v="MF-ST.22157"/>
    <m/>
    <d v="2026-04-24T00:00:00"/>
    <m/>
    <s v="Member Reguler"/>
    <m/>
    <s v="C.01478"/>
    <m/>
    <s v="SHAFIRA"/>
    <m/>
    <s v="Achmad Indrawanto"/>
    <m/>
    <s v="SERVICE HANDPHONE"/>
    <m/>
    <x v="1"/>
    <m/>
    <s v="YUVI NOFERIANTO"/>
    <m/>
    <x v="4"/>
    <m/>
    <s v="Achmad Indrawanto"/>
    <m/>
    <s v="BATERAI"/>
    <m/>
    <s v="APPLE"/>
    <m/>
    <s v="Iphone 11"/>
    <m/>
    <s v="100224"/>
    <m/>
    <s v="BATER IPH 11"/>
    <m/>
    <n v="158084.47944600001"/>
    <m/>
    <n v="1"/>
    <m/>
    <n v="240000"/>
    <m/>
    <n v="240000"/>
    <m/>
    <s v="Achmad Indrawanto"/>
    <m/>
    <s v="N/A"/>
  </r>
  <r>
    <m/>
    <x v="0"/>
    <m/>
    <s v="MF-FP.24662"/>
    <m/>
    <s v="MF-ST.22157"/>
    <m/>
    <d v="2026-04-24T00:00:00"/>
    <m/>
    <s v="Member Reguler"/>
    <m/>
    <s v="C.01478"/>
    <m/>
    <s v="SHAFIRA"/>
    <m/>
    <s v="Achmad Indrawanto"/>
    <m/>
    <s v="SERVICE HANDPHONE"/>
    <m/>
    <x v="2"/>
    <m/>
    <s v="YUVI NOFERIANTO"/>
    <m/>
    <x v="4"/>
    <m/>
    <s v="Achmad Indrawanto"/>
    <m/>
    <s v="BATERAI"/>
    <m/>
    <s v="APPLE"/>
    <m/>
    <s v="Iphone 11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0"/>
    <m/>
    <s v="MF-FP.24663"/>
    <m/>
    <s v="MF-ST.22158"/>
    <m/>
    <d v="2026-04-24T00:00:00"/>
    <m/>
    <s v="Member Reguler"/>
    <m/>
    <s v="C.13077"/>
    <m/>
    <s v="FARID"/>
    <m/>
    <s v="Achmad Indrawanto"/>
    <m/>
    <s v="SERVICE HANDPHONE"/>
    <m/>
    <x v="0"/>
    <m/>
    <s v="EKO RISDIYANTORO JATIMULYA"/>
    <m/>
    <x v="2"/>
    <m/>
    <s v="Achmad Indrawanto"/>
    <m/>
    <s v="REPAIR"/>
    <m/>
    <s v="BELUM ADA MERK"/>
    <m/>
    <s v="TECHNO POVA 6"/>
    <m/>
    <s v="JASA71"/>
    <m/>
    <s v="JASA REPAIR"/>
    <m/>
    <n v="0"/>
    <m/>
    <n v="1"/>
    <m/>
    <n v="125000"/>
    <m/>
    <n v="125000"/>
    <m/>
    <s v="Achmad Indrawanto"/>
    <m/>
    <s v="N/A"/>
  </r>
  <r>
    <m/>
    <x v="0"/>
    <m/>
    <s v="MF-FP.24665"/>
    <m/>
    <s v="MF-ST.22096"/>
    <m/>
    <d v="2026-04-22T00:00:00"/>
    <m/>
    <s v="Umum"/>
    <m/>
    <s v="C.13051"/>
    <m/>
    <s v="RISHA"/>
    <m/>
    <s v="WAHYU PRATAMA"/>
    <m/>
    <s v="SERVICE HANDPHONE"/>
    <m/>
    <x v="2"/>
    <m/>
    <s v="ARI MARWAN"/>
    <m/>
    <x v="0"/>
    <m/>
    <s v="Achmad Indrawanto"/>
    <m/>
    <s v="LCD"/>
    <m/>
    <s v="SAMSUNG"/>
    <m/>
    <s v="S21 FE"/>
    <m/>
    <s v="AKOR-014"/>
    <m/>
    <s v="ORAIMO CABLE TYPE-C 2A OCD-114C"/>
    <m/>
    <n v="15000"/>
    <m/>
    <n v="1"/>
    <m/>
    <n v="25000"/>
    <m/>
    <n v="25000"/>
    <m/>
    <m/>
    <m/>
    <s v="N/A"/>
  </r>
  <r>
    <m/>
    <x v="0"/>
    <m/>
    <s v="MF-FP.24664"/>
    <m/>
    <s v="MF-ST.22159"/>
    <m/>
    <d v="2026-04-24T00:00:00"/>
    <m/>
    <s v="Member Reguler"/>
    <m/>
    <s v="C.03800"/>
    <m/>
    <s v="CIPTA SARANA MANDIRI"/>
    <m/>
    <s v="HANIF"/>
    <m/>
    <s v="PENJUALAN AKSESORIS"/>
    <m/>
    <x v="1"/>
    <m/>
    <s v="N/A"/>
    <m/>
    <x v="5"/>
    <m/>
    <s v="Achmad Indrawanto"/>
    <m/>
    <s v="N/A"/>
    <m/>
    <s v="BELUM ADA MERK"/>
    <m/>
    <s v="N/A"/>
    <m/>
    <s v="104020"/>
    <m/>
    <s v="KBL.. VGA TO VGA"/>
    <m/>
    <n v="20833.333333999999"/>
    <m/>
    <n v="1"/>
    <m/>
    <n v="30000"/>
    <m/>
    <n v="30000"/>
    <m/>
    <s v="CHANDRA PRADITYA GUNAWAN"/>
    <m/>
    <s v="N/A"/>
  </r>
  <r>
    <m/>
    <x v="0"/>
    <m/>
    <s v="MF-FP.24665"/>
    <m/>
    <s v="MF-ST.22096"/>
    <m/>
    <d v="2026-04-22T00:00:00"/>
    <m/>
    <s v="Umum"/>
    <m/>
    <s v="C.13051"/>
    <m/>
    <s v="RISHA"/>
    <m/>
    <s v="WAHYU PRATAMA"/>
    <m/>
    <s v="SERVICE HANDPHONE"/>
    <m/>
    <x v="0"/>
    <m/>
    <s v="ARI MARWAN"/>
    <m/>
    <x v="0"/>
    <m/>
    <s v="Achmad Indrawanto"/>
    <m/>
    <s v="LCD"/>
    <m/>
    <s v="SAMSUNG"/>
    <m/>
    <s v="S21 FE"/>
    <m/>
    <s v="JASA71"/>
    <m/>
    <s v="JASA REPAIR"/>
    <m/>
    <n v="0"/>
    <m/>
    <n v="1"/>
    <m/>
    <n v="955000"/>
    <m/>
    <n v="955000"/>
    <m/>
    <m/>
    <m/>
    <s v="N/A"/>
  </r>
  <r>
    <m/>
    <x v="0"/>
    <m/>
    <s v="MF-FP.24665"/>
    <m/>
    <s v="MF-ST.22096"/>
    <m/>
    <d v="2026-04-22T00:00:00"/>
    <m/>
    <s v="Umum"/>
    <m/>
    <s v="C.13051"/>
    <m/>
    <s v="RISHA"/>
    <m/>
    <s v="WAHYU PRATAMA"/>
    <m/>
    <s v="SERVICE HANDPHONE"/>
    <m/>
    <x v="1"/>
    <m/>
    <s v="ARI MARWAN"/>
    <m/>
    <x v="0"/>
    <m/>
    <s v="Achmad Indrawanto"/>
    <m/>
    <s v="LCD"/>
    <m/>
    <s v="SAMSUNG"/>
    <m/>
    <s v="S21 FE"/>
    <m/>
    <s v="105833"/>
    <m/>
    <s v="LCD.. SAM S21 FE OLED + FRAME B"/>
    <m/>
    <n v="779500"/>
    <m/>
    <n v="1"/>
    <m/>
    <n v="820000"/>
    <m/>
    <n v="820000"/>
    <m/>
    <m/>
    <m/>
    <s v="N/A"/>
  </r>
  <r>
    <m/>
    <x v="0"/>
    <m/>
    <s v="MF-FP.24666"/>
    <m/>
    <s v="MF-ST.22121"/>
    <m/>
    <d v="2026-04-22T00:00:00"/>
    <m/>
    <s v="Member Reguler"/>
    <m/>
    <s v="C.13061"/>
    <m/>
    <s v="SYAHNAS"/>
    <m/>
    <s v="Achmad Indrawanto"/>
    <m/>
    <s v="SERVICE LAPTOP"/>
    <m/>
    <x v="0"/>
    <m/>
    <s v="ARIFIN SANTOSO JATIMULYA"/>
    <m/>
    <x v="6"/>
    <m/>
    <s v="WAHYU PRATAMA"/>
    <m/>
    <s v="REPAIR"/>
    <m/>
    <s v="HP"/>
    <m/>
    <s v="HP 14S DQ"/>
    <m/>
    <s v="JASA71"/>
    <m/>
    <s v="JASA REPAIR"/>
    <m/>
    <n v="0"/>
    <m/>
    <n v="1"/>
    <m/>
    <n v="435000"/>
    <m/>
    <n v="435000"/>
    <m/>
    <s v="Achmad Indrawanto"/>
    <m/>
    <s v="N/A"/>
  </r>
  <r>
    <m/>
    <x v="0"/>
    <m/>
    <s v="MF-FP.24666"/>
    <m/>
    <s v="MF-ST.22121"/>
    <m/>
    <d v="2026-04-22T00:00:00"/>
    <m/>
    <s v="Member Reguler"/>
    <m/>
    <s v="C.13061"/>
    <m/>
    <s v="SYAHNAS"/>
    <m/>
    <s v="Achmad Indrawanto"/>
    <m/>
    <s v="SERVICE LAPTOP"/>
    <m/>
    <x v="2"/>
    <m/>
    <s v="ARIFIN SANTOSO JATIMULYA"/>
    <m/>
    <x v="6"/>
    <m/>
    <s v="WAHYU PRATAMA"/>
    <m/>
    <s v="REPAIR"/>
    <m/>
    <s v="HP"/>
    <m/>
    <s v="HP 14S DQ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0"/>
    <m/>
    <s v="MF-FP.24667"/>
    <m/>
    <s v="MF-ST.22162"/>
    <m/>
    <d v="2026-04-24T00:00:00"/>
    <m/>
    <s v="Umum"/>
    <m/>
    <s v="C.00000"/>
    <m/>
    <s v="Pelanggan Umum"/>
    <m/>
    <s v="WAHYU PRATAMA"/>
    <m/>
    <s v="PENJUALAN AKSESORIS"/>
    <m/>
    <x v="2"/>
    <m/>
    <s v="N/A"/>
    <m/>
    <x v="5"/>
    <m/>
    <s v="WAHYU PRATAMA"/>
    <m/>
    <s v="REPAIR"/>
    <m/>
    <s v="LENOVO"/>
    <m/>
    <s v="LENOVO"/>
    <m/>
    <s v="101491"/>
    <m/>
    <s v="ADPTR LPT LNV 20V 3.25A  TYPE-C 65 WATT"/>
    <m/>
    <n v="97213.082802999998"/>
    <m/>
    <n v="1"/>
    <m/>
    <n v="250000"/>
    <m/>
    <n v="250000"/>
    <m/>
    <m/>
    <m/>
    <s v="N/A"/>
  </r>
  <r>
    <m/>
    <x v="0"/>
    <m/>
    <s v="MF-FP.24669"/>
    <m/>
    <s v="MF-ST.22166"/>
    <m/>
    <d v="2026-04-24T00:00:00"/>
    <m/>
    <s v="Umum"/>
    <m/>
    <s v="C.00000"/>
    <m/>
    <s v="Pelanggan Umum"/>
    <m/>
    <s v="Achmad Indrawanto"/>
    <m/>
    <s v="PENJUALAN AKSESORIS"/>
    <m/>
    <x v="2"/>
    <m/>
    <s v="N/A"/>
    <m/>
    <x v="5"/>
    <m/>
    <s v="Achmad Indrawanto"/>
    <m/>
    <s v="LCD"/>
    <m/>
    <s v="SAMSUNG"/>
    <m/>
    <s v="SAM"/>
    <m/>
    <s v="101016"/>
    <m/>
    <s v="KABEL POWER LAPTOP"/>
    <m/>
    <n v="15042.328041999999"/>
    <m/>
    <n v="1"/>
    <m/>
    <n v="50000"/>
    <m/>
    <n v="50000"/>
    <m/>
    <m/>
    <m/>
    <s v="N/A"/>
  </r>
  <r>
    <m/>
    <x v="0"/>
    <m/>
    <s v="MF-FP.24654"/>
    <m/>
    <s v="MF-ST.22101"/>
    <m/>
    <d v="2026-04-22T00:00:00"/>
    <m/>
    <s v="Umum"/>
    <m/>
    <s v="C.05237"/>
    <m/>
    <s v="RISMA"/>
    <m/>
    <s v="WAHYU PRATAMA"/>
    <m/>
    <s v="SERVICE HANDPHONE"/>
    <m/>
    <x v="0"/>
    <m/>
    <s v="ABDUL MUNAJAT"/>
    <m/>
    <x v="3"/>
    <m/>
    <s v="HANIF"/>
    <m/>
    <s v="CLEAN UP"/>
    <m/>
    <s v="ASUS"/>
    <m/>
    <s v="Asus A400J"/>
    <m/>
    <s v="JASA71"/>
    <m/>
    <s v="JASA REPAIR"/>
    <m/>
    <n v="0"/>
    <m/>
    <n v="1"/>
    <m/>
    <n v="225000"/>
    <m/>
    <n v="225000"/>
    <m/>
    <m/>
    <m/>
    <s v="N/A"/>
  </r>
  <r>
    <m/>
    <x v="0"/>
    <m/>
    <s v="MF-FP.24654"/>
    <m/>
    <s v="MF-ST.22101"/>
    <m/>
    <d v="2026-04-22T00:00:00"/>
    <m/>
    <s v="Umum"/>
    <m/>
    <s v="C.05237"/>
    <m/>
    <s v="RISMA"/>
    <m/>
    <s v="WAHYU PRATAMA"/>
    <m/>
    <s v="SERVICE HANDPHONE"/>
    <m/>
    <x v="2"/>
    <m/>
    <s v="ABDUL MUNAJAT"/>
    <m/>
    <x v="3"/>
    <m/>
    <s v="HANIF"/>
    <m/>
    <s v="CLEAN UP"/>
    <m/>
    <s v="ASUS"/>
    <m/>
    <s v="Asus A400J"/>
    <m/>
    <s v="AKOR-014"/>
    <m/>
    <s v="ORAIMO CABLE TYPE-C 2A OCD-114C"/>
    <m/>
    <n v="15000"/>
    <m/>
    <n v="1"/>
    <m/>
    <n v="25000"/>
    <m/>
    <n v="25000"/>
    <m/>
    <m/>
    <m/>
    <s v="N/A"/>
  </r>
  <r>
    <m/>
    <x v="0"/>
    <m/>
    <s v="MF-FP.24656"/>
    <m/>
    <s v="MF-ST.22103"/>
    <m/>
    <d v="2026-04-22T00:00:00"/>
    <m/>
    <s v="Umum"/>
    <m/>
    <s v="C.05237"/>
    <m/>
    <s v="RISMA"/>
    <m/>
    <s v="WAHYU PRATAMA"/>
    <m/>
    <s v="SERVICE HANDPHONE"/>
    <m/>
    <x v="0"/>
    <m/>
    <s v="ARI MARWAN"/>
    <m/>
    <x v="0"/>
    <m/>
    <s v="HANIF"/>
    <m/>
    <s v="LCD"/>
    <m/>
    <s v="XIAOMI"/>
    <m/>
    <s v="NOTE 10S"/>
    <m/>
    <s v="JASA71"/>
    <m/>
    <s v="JASA REPAIR"/>
    <m/>
    <n v="0"/>
    <m/>
    <n v="1"/>
    <m/>
    <n v="195000"/>
    <m/>
    <n v="195000"/>
    <m/>
    <m/>
    <m/>
    <s v="N/A"/>
  </r>
  <r>
    <m/>
    <x v="0"/>
    <m/>
    <s v="MF-FP.24656"/>
    <m/>
    <s v="MF-ST.22103"/>
    <m/>
    <d v="2026-04-22T00:00:00"/>
    <m/>
    <s v="Umum"/>
    <m/>
    <s v="C.05237"/>
    <m/>
    <s v="RISMA"/>
    <m/>
    <s v="WAHYU PRATAMA"/>
    <m/>
    <s v="SERVICE HANDPHONE"/>
    <m/>
    <x v="1"/>
    <m/>
    <s v="ARI MARWAN"/>
    <m/>
    <x v="0"/>
    <m/>
    <s v="HANIF"/>
    <m/>
    <s v="LCD"/>
    <m/>
    <s v="XIAOMI"/>
    <m/>
    <s v="NOTE 10S"/>
    <m/>
    <s v="100238"/>
    <m/>
    <s v="LCD.. XIO REDMI NOTE 10 4G/REDMI NOTE 10S B"/>
    <m/>
    <n v="140001"/>
    <m/>
    <n v="1"/>
    <m/>
    <n v="180000"/>
    <m/>
    <n v="180000"/>
    <m/>
    <m/>
    <m/>
    <s v="N/A"/>
  </r>
  <r>
    <m/>
    <x v="0"/>
    <m/>
    <s v="MF-FP.24656"/>
    <m/>
    <s v="MF-ST.22103"/>
    <m/>
    <d v="2026-04-22T00:00:00"/>
    <m/>
    <s v="Umum"/>
    <m/>
    <s v="C.05237"/>
    <m/>
    <s v="RISMA"/>
    <m/>
    <s v="WAHYU PRATAMA"/>
    <m/>
    <s v="SERVICE HANDPHONE"/>
    <m/>
    <x v="2"/>
    <m/>
    <s v="ARI MARWAN"/>
    <m/>
    <x v="0"/>
    <m/>
    <s v="HANIF"/>
    <m/>
    <s v="LCD"/>
    <m/>
    <s v="XIAOMI"/>
    <m/>
    <s v="NOTE 10S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0"/>
    <m/>
    <s v="MF-FP.24658"/>
    <m/>
    <s v="MF-ST.22152"/>
    <m/>
    <d v="2026-04-24T00:00:00"/>
    <m/>
    <s v="Umum"/>
    <m/>
    <s v="C.13075"/>
    <m/>
    <s v="ZAFRAN"/>
    <m/>
    <s v="HANIF"/>
    <m/>
    <s v="SERVICE HANDPHONE"/>
    <m/>
    <x v="0"/>
    <m/>
    <s v="EKO RISDIYANTORO JATIMULYA"/>
    <m/>
    <x v="2"/>
    <m/>
    <s v="HANIF"/>
    <m/>
    <s v="HARDWARE"/>
    <m/>
    <s v="SAMSUNG"/>
    <m/>
    <s v="samsung a30s"/>
    <m/>
    <s v="JASA71"/>
    <m/>
    <s v="JASA REPAIR"/>
    <m/>
    <n v="0"/>
    <m/>
    <n v="1"/>
    <m/>
    <n v="130000"/>
    <m/>
    <n v="130000"/>
    <m/>
    <m/>
    <m/>
    <s v="N/A"/>
  </r>
  <r>
    <m/>
    <x v="0"/>
    <m/>
    <s v="MF-FP.24658"/>
    <m/>
    <s v="MF-ST.22152"/>
    <m/>
    <d v="2026-04-24T00:00:00"/>
    <m/>
    <s v="Umum"/>
    <m/>
    <s v="C.13075"/>
    <m/>
    <s v="ZAFRAN"/>
    <m/>
    <s v="HANIF"/>
    <m/>
    <s v="SERVICE HANDPHONE"/>
    <m/>
    <x v="1"/>
    <m/>
    <s v="EKO RISDIYANTORO JATIMULYA"/>
    <m/>
    <x v="2"/>
    <m/>
    <s v="HANIF"/>
    <m/>
    <s v="HARDWARE"/>
    <m/>
    <s v="SAMSUNG"/>
    <m/>
    <s v="samsung a30s"/>
    <m/>
    <s v="102039"/>
    <m/>
    <s v="PERNIK TBL O/F + VLM SAM A20/A30/A30s/A50/A50s/A70"/>
    <m/>
    <n v="7253.9419520000001"/>
    <m/>
    <n v="1"/>
    <m/>
    <n v="20000"/>
    <m/>
    <n v="20000"/>
    <m/>
    <m/>
    <m/>
    <s v="N/A"/>
  </r>
  <r>
    <m/>
    <x v="0"/>
    <m/>
    <s v="MF-FP.24661"/>
    <m/>
    <s v="MF-ST.22154"/>
    <m/>
    <d v="2026-04-24T00:00:00"/>
    <m/>
    <s v="Umum"/>
    <m/>
    <s v="C.09539"/>
    <m/>
    <s v="CITRA ZAINENURISA"/>
    <m/>
    <s v="HANIF"/>
    <m/>
    <s v="SERVICE HANDPHONE"/>
    <m/>
    <x v="0"/>
    <m/>
    <s v="EKO RISDIYANTORO JATIMULYA"/>
    <m/>
    <x v="2"/>
    <m/>
    <s v="HANIF"/>
    <m/>
    <s v="LCD"/>
    <m/>
    <s v="APPLE"/>
    <m/>
    <s v="11 pro"/>
    <m/>
    <s v="JASA71"/>
    <m/>
    <s v="JASA REPAIR"/>
    <m/>
    <n v="0"/>
    <m/>
    <n v="1"/>
    <m/>
    <n v="220000"/>
    <m/>
    <n v="220000"/>
    <m/>
    <m/>
    <m/>
    <s v="N/A"/>
  </r>
  <r>
    <m/>
    <x v="0"/>
    <m/>
    <s v="MF-FP.24661"/>
    <m/>
    <s v="MF-ST.22154"/>
    <m/>
    <d v="2026-04-24T00:00:00"/>
    <m/>
    <s v="Umum"/>
    <m/>
    <s v="C.09539"/>
    <m/>
    <s v="CITRA ZAINENURISA"/>
    <m/>
    <s v="HANIF"/>
    <m/>
    <s v="SERVICE HANDPHONE"/>
    <m/>
    <x v="1"/>
    <m/>
    <s v="EKO RISDIYANTORO JATIMULYA"/>
    <m/>
    <x v="2"/>
    <m/>
    <s v="HANIF"/>
    <m/>
    <s v="LCD"/>
    <m/>
    <s v="APPLE"/>
    <m/>
    <s v="11 pro"/>
    <m/>
    <s v="100489"/>
    <m/>
    <s v="LCD.. IPH 11 PRO B"/>
    <m/>
    <n v="222500"/>
    <m/>
    <n v="1"/>
    <m/>
    <n v="310000"/>
    <m/>
    <n v="310000"/>
    <m/>
    <m/>
    <m/>
    <s v="N/A"/>
  </r>
  <r>
    <m/>
    <x v="0"/>
    <m/>
    <s v="MF-FP.24661"/>
    <m/>
    <s v="MF-ST.22154"/>
    <m/>
    <d v="2026-04-24T00:00:00"/>
    <m/>
    <s v="Umum"/>
    <m/>
    <s v="C.09539"/>
    <m/>
    <s v="CITRA ZAINENURISA"/>
    <m/>
    <s v="HANIF"/>
    <m/>
    <s v="SERVICE HANDPHONE"/>
    <m/>
    <x v="2"/>
    <m/>
    <s v="EKO RISDIYANTORO JATIMULYA"/>
    <m/>
    <x v="2"/>
    <m/>
    <s v="HANIF"/>
    <m/>
    <s v="LCD"/>
    <m/>
    <s v="APPLE"/>
    <m/>
    <s v="11 pro"/>
    <m/>
    <s v="AKOR-014"/>
    <m/>
    <s v="ORAIMO CABLE TYPE-C 2A OCD-114C"/>
    <m/>
    <n v="15000"/>
    <m/>
    <n v="1"/>
    <m/>
    <n v="20000"/>
    <m/>
    <n v="20000"/>
    <m/>
    <m/>
    <m/>
    <s v="N/A"/>
  </r>
  <r>
    <m/>
    <x v="0"/>
    <m/>
    <s v="MF-FP.24663"/>
    <m/>
    <s v="MF-ST.22158"/>
    <m/>
    <d v="2026-04-24T00:00:00"/>
    <m/>
    <s v="Member Reguler"/>
    <m/>
    <s v="C.13077"/>
    <m/>
    <s v="FARID"/>
    <m/>
    <s v="Achmad Indrawanto"/>
    <m/>
    <s v="SERVICE HANDPHONE"/>
    <m/>
    <x v="2"/>
    <m/>
    <s v="EKO RISDIYANTORO JATIMULYA"/>
    <m/>
    <x v="2"/>
    <m/>
    <s v="Achmad Indrawanto"/>
    <m/>
    <s v="REPAIR"/>
    <m/>
    <s v="BELUM ADA MERK"/>
    <m/>
    <s v="TECHNO POVA 6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0"/>
    <m/>
    <s v="MF-FP.24668"/>
    <m/>
    <s v="MF-ST.22110"/>
    <m/>
    <d v="2026-04-22T00:00:00"/>
    <m/>
    <s v="Umum"/>
    <m/>
    <s v="C.05556"/>
    <m/>
    <s v="DIAN"/>
    <m/>
    <s v="Achmad Indrawanto"/>
    <m/>
    <s v="SERVICE HANDPHONE"/>
    <m/>
    <x v="0"/>
    <m/>
    <s v="EKO RISDIYANTORO JATIMULYA"/>
    <m/>
    <x v="2"/>
    <m/>
    <s v="WAHYU PRATAMA"/>
    <m/>
    <s v="BATERAI"/>
    <m/>
    <s v="SAMSUNG"/>
    <m/>
    <s v="SAMSUNG S10"/>
    <m/>
    <s v="JASA71"/>
    <m/>
    <s v="JASA REPAIR"/>
    <m/>
    <n v="0"/>
    <m/>
    <n v="1"/>
    <m/>
    <n v="235000"/>
    <m/>
    <n v="235000"/>
    <m/>
    <m/>
    <m/>
    <s v="N/A"/>
  </r>
  <r>
    <m/>
    <x v="0"/>
    <m/>
    <s v="MF-FP.24668"/>
    <m/>
    <s v="MF-ST.22110"/>
    <m/>
    <d v="2026-04-22T00:00:00"/>
    <m/>
    <s v="Umum"/>
    <m/>
    <s v="C.05556"/>
    <m/>
    <s v="DIAN"/>
    <m/>
    <s v="Achmad Indrawanto"/>
    <m/>
    <s v="SERVICE HANDPHONE"/>
    <m/>
    <x v="1"/>
    <m/>
    <s v="EKO RISDIYANTORO JATIMULYA"/>
    <m/>
    <x v="2"/>
    <m/>
    <s v="WAHYU PRATAMA"/>
    <m/>
    <s v="BATERAI"/>
    <m/>
    <s v="SAMSUNG"/>
    <m/>
    <s v="SAMSUNG S10"/>
    <m/>
    <s v="101834"/>
    <m/>
    <s v="BATER DOUBLE POWER SAM S10 EB-BG973ABU"/>
    <m/>
    <n v="145000"/>
    <m/>
    <n v="1"/>
    <m/>
    <n v="150000"/>
    <m/>
    <n v="150000"/>
    <m/>
    <m/>
    <m/>
    <s v="N/A"/>
  </r>
  <r>
    <m/>
    <x v="0"/>
    <m/>
    <s v="MF-FP.24668"/>
    <m/>
    <s v="MF-ST.22110"/>
    <m/>
    <d v="2026-04-22T00:00:00"/>
    <m/>
    <s v="Umum"/>
    <m/>
    <s v="C.05556"/>
    <m/>
    <s v="DIAN"/>
    <m/>
    <s v="Achmad Indrawanto"/>
    <m/>
    <s v="SERVICE HANDPHONE"/>
    <m/>
    <x v="2"/>
    <m/>
    <s v="EKO RISDIYANTORO JATIMULYA"/>
    <m/>
    <x v="2"/>
    <m/>
    <s v="WAHYU PRATAMA"/>
    <m/>
    <s v="BATERAI"/>
    <m/>
    <s v="SAMSUNG"/>
    <m/>
    <s v="SAMSUNG S10"/>
    <m/>
    <s v="AKOR-014"/>
    <m/>
    <s v="ORAIMO CABLE TYPE-C 2A OCD-114C"/>
    <m/>
    <n v="15000"/>
    <m/>
    <n v="1"/>
    <m/>
    <n v="15000"/>
    <m/>
    <n v="15000"/>
    <m/>
    <m/>
    <m/>
    <s v="N/A"/>
  </r>
  <r>
    <m/>
    <x v="0"/>
    <m/>
    <s v="MF-FP.24670"/>
    <m/>
    <s v="MF-ST.22008"/>
    <m/>
    <d v="2026-04-18T00:00:00"/>
    <m/>
    <s v="Umum"/>
    <m/>
    <s v="C.13010"/>
    <m/>
    <s v="FADLI"/>
    <m/>
    <s v="HANIF"/>
    <m/>
    <s v="SERVICE LAPTOP"/>
    <m/>
    <x v="0"/>
    <m/>
    <s v="ABDUL MUNAJAT"/>
    <m/>
    <x v="3"/>
    <m/>
    <s v="WAHYU PRATAMA"/>
    <m/>
    <s v="MATI TOTAL"/>
    <m/>
    <s v="LENOVO"/>
    <m/>
    <s v="Lenovo Ideapad C340 14IWL"/>
    <m/>
    <s v="JASA71"/>
    <m/>
    <s v="JASA REPAIR"/>
    <m/>
    <n v="0"/>
    <m/>
    <n v="1"/>
    <m/>
    <n v="1485000"/>
    <m/>
    <n v="1485000"/>
    <m/>
    <s v="MUHAMAD NUR HANIF"/>
    <m/>
    <s v="N/A"/>
  </r>
  <r>
    <m/>
    <x v="0"/>
    <m/>
    <s v="MF-FP.24670"/>
    <m/>
    <s v="MF-ST.22008"/>
    <m/>
    <d v="2026-04-18T00:00:00"/>
    <m/>
    <s v="Umum"/>
    <m/>
    <s v="C.13010"/>
    <m/>
    <s v="FADLI"/>
    <m/>
    <s v="HANIF"/>
    <m/>
    <s v="SERVICE LAPTOP"/>
    <m/>
    <x v="2"/>
    <m/>
    <s v="ABDUL MUNAJAT"/>
    <m/>
    <x v="3"/>
    <m/>
    <s v="WAHYU PRATAMA"/>
    <m/>
    <s v="MATI TOTAL"/>
    <m/>
    <s v="LENOVO"/>
    <m/>
    <s v="Lenovo Ideapad C340 14IWL"/>
    <m/>
    <s v="AKOR-014"/>
    <m/>
    <s v="ORAIMO CABLE TYPE-C 2A OCD-114C"/>
    <m/>
    <n v="15000"/>
    <m/>
    <n v="1"/>
    <m/>
    <n v="15000"/>
    <m/>
    <n v="15000"/>
    <m/>
    <s v="MUHAMAD NUR HANIF"/>
    <m/>
    <s v="N/A"/>
  </r>
  <r>
    <m/>
    <x v="0"/>
    <m/>
    <s v="MF-FP.24675"/>
    <m/>
    <s v="MF-ST.22147"/>
    <m/>
    <d v="2026-04-23T00:00:00"/>
    <m/>
    <s v="Umum"/>
    <m/>
    <s v="C.13073"/>
    <m/>
    <s v="DORA"/>
    <m/>
    <s v="WAHYU PRATAMA"/>
    <m/>
    <s v="SERVICE HANDPHONE"/>
    <m/>
    <x v="1"/>
    <m/>
    <s v="YUVI NOFERIANTO"/>
    <m/>
    <x v="4"/>
    <m/>
    <s v="WAHYU PRATAMA"/>
    <m/>
    <s v="BATERAI"/>
    <m/>
    <s v="XIAOMI"/>
    <m/>
    <s v="NOTE 11 5G"/>
    <m/>
    <s v="102570"/>
    <m/>
    <s v="BATER XIO REDMI NOTE 11 5G/POCO M4 PRO 5G BN5C"/>
    <m/>
    <n v="102000"/>
    <m/>
    <n v="1"/>
    <m/>
    <n v="160000"/>
    <m/>
    <n v="160000"/>
    <m/>
    <m/>
    <m/>
    <s v="N/A"/>
  </r>
  <r>
    <m/>
    <x v="0"/>
    <m/>
    <s v="MF-FP.24675"/>
    <m/>
    <s v="MF-ST.22147"/>
    <m/>
    <d v="2026-04-23T00:00:00"/>
    <m/>
    <s v="Umum"/>
    <m/>
    <s v="C.13073"/>
    <m/>
    <s v="DORA"/>
    <m/>
    <s v="WAHYU PRATAMA"/>
    <m/>
    <s v="SERVICE HANDPHONE"/>
    <m/>
    <x v="1"/>
    <m/>
    <s v="YUVI NOFERIANTO"/>
    <m/>
    <x v="4"/>
    <m/>
    <s v="WAHYU PRATAMA"/>
    <m/>
    <s v="BATERAI"/>
    <m/>
    <s v="XIAOMI"/>
    <m/>
    <s v="NOTE 11 5G"/>
    <m/>
    <s v="106041"/>
    <m/>
    <s v="PERNIK XIO REDMI NOTE 11 5G/POCO M4 PRO 5G"/>
    <m/>
    <n v="4833.3333329999996"/>
    <m/>
    <n v="1"/>
    <m/>
    <n v="20000"/>
    <m/>
    <n v="20000"/>
    <m/>
    <m/>
    <m/>
    <s v="N/A"/>
  </r>
  <r>
    <m/>
    <x v="0"/>
    <m/>
    <s v="MF-FP.24674"/>
    <m/>
    <s v="MF-ST.22126"/>
    <m/>
    <d v="2026-04-22T00:00:00"/>
    <m/>
    <s v="Umum"/>
    <m/>
    <s v="C.13055"/>
    <m/>
    <s v="NAJMA"/>
    <m/>
    <s v="Achmad Indrawanto"/>
    <m/>
    <s v="SERVICE HANDPHONE"/>
    <m/>
    <x v="0"/>
    <m/>
    <s v="ARI MARWAN"/>
    <m/>
    <x v="0"/>
    <m/>
    <s v="WAHYU PRATAMA"/>
    <m/>
    <s v="BATERAI"/>
    <m/>
    <s v="XIAOMI"/>
    <m/>
    <s v="REDMI"/>
    <m/>
    <s v="JASA71"/>
    <m/>
    <s v="JASA REPAIR"/>
    <m/>
    <n v="0"/>
    <m/>
    <n v="1"/>
    <m/>
    <n v="200000"/>
    <m/>
    <n v="200000"/>
    <m/>
    <m/>
    <m/>
    <s v="N/A"/>
  </r>
  <r>
    <m/>
    <x v="0"/>
    <m/>
    <s v="MF-FP.24674"/>
    <m/>
    <s v="MF-ST.22126"/>
    <m/>
    <d v="2026-04-22T00:00:00"/>
    <m/>
    <s v="Umum"/>
    <m/>
    <s v="C.13055"/>
    <m/>
    <s v="NAJMA"/>
    <m/>
    <s v="Achmad Indrawanto"/>
    <m/>
    <s v="SERVICE HANDPHONE"/>
    <m/>
    <x v="1"/>
    <m/>
    <s v="ARI MARWAN"/>
    <m/>
    <x v="0"/>
    <m/>
    <s v="WAHYU PRATAMA"/>
    <m/>
    <s v="BATERAI"/>
    <m/>
    <s v="XIAOMI"/>
    <m/>
    <s v="REDMI"/>
    <m/>
    <s v="102427"/>
    <m/>
    <s v="BATER XIO REDMI 10 4G/NOTE 10 5G/POCO M3 PRO 5G BN5A"/>
    <m/>
    <n v="123744.918699"/>
    <m/>
    <n v="1"/>
    <m/>
    <n v="130000"/>
    <m/>
    <n v="130000"/>
    <m/>
    <m/>
    <m/>
    <s v="N/A"/>
  </r>
  <r>
    <m/>
    <x v="0"/>
    <m/>
    <s v="MF-FP.24672"/>
    <m/>
    <s v="MF-ST.22128"/>
    <m/>
    <d v="2026-04-23T00:00:00"/>
    <m/>
    <s v="Umum"/>
    <m/>
    <s v="C.12723"/>
    <m/>
    <s v="DAVINA"/>
    <m/>
    <s v="Achmad Indrawanto"/>
    <m/>
    <s v="SERVICE HANDPHONE"/>
    <m/>
    <x v="0"/>
    <m/>
    <s v="MUSTOFA"/>
    <m/>
    <x v="1"/>
    <m/>
    <s v="WAHYU PRATAMA"/>
    <m/>
    <s v="LCD"/>
    <m/>
    <s v="SAMSUNG"/>
    <m/>
    <s v="Samsung J7 prime"/>
    <m/>
    <s v="JASA71"/>
    <m/>
    <s v="JASA REPAIR"/>
    <m/>
    <n v="0"/>
    <m/>
    <n v="1"/>
    <m/>
    <n v="250000"/>
    <m/>
    <n v="250000"/>
    <m/>
    <m/>
    <m/>
    <s v="N/A"/>
  </r>
  <r>
    <m/>
    <x v="0"/>
    <m/>
    <s v="MF-FP.24672"/>
    <m/>
    <s v="MF-ST.22128"/>
    <m/>
    <d v="2026-04-23T00:00:00"/>
    <m/>
    <s v="Umum"/>
    <m/>
    <s v="C.12723"/>
    <m/>
    <s v="DAVINA"/>
    <m/>
    <s v="Achmad Indrawanto"/>
    <m/>
    <s v="SERVICE HANDPHONE"/>
    <m/>
    <x v="1"/>
    <m/>
    <s v="MUSTOFA"/>
    <m/>
    <x v="1"/>
    <m/>
    <s v="WAHYU PRATAMA"/>
    <m/>
    <s v="LCD"/>
    <m/>
    <s v="SAMSUNG"/>
    <m/>
    <s v="Samsung J7 prime"/>
    <m/>
    <s v="102694"/>
    <m/>
    <s v="FLEX. BACK SAM J7 PRIME G610"/>
    <m/>
    <n v="15891.891892"/>
    <m/>
    <n v="1"/>
    <m/>
    <n v="50000"/>
    <m/>
    <n v="50000"/>
    <m/>
    <m/>
    <m/>
    <s v="N/A"/>
  </r>
  <r>
    <m/>
    <x v="0"/>
    <m/>
    <s v="MF-FP.24672"/>
    <m/>
    <s v="MF-ST.22128"/>
    <m/>
    <d v="2026-04-23T00:00:00"/>
    <m/>
    <s v="Umum"/>
    <m/>
    <s v="C.12723"/>
    <m/>
    <s v="DAVINA"/>
    <m/>
    <s v="Achmad Indrawanto"/>
    <m/>
    <s v="SERVICE HANDPHONE"/>
    <m/>
    <x v="1"/>
    <m/>
    <s v="MUSTOFA"/>
    <m/>
    <x v="1"/>
    <m/>
    <s v="WAHYU PRATAMA"/>
    <m/>
    <s v="LCD"/>
    <m/>
    <s v="SAMSUNG"/>
    <m/>
    <s v="Samsung J7 prime"/>
    <m/>
    <s v="100291"/>
    <m/>
    <s v="LCD.. SAM G610 J7 PRIME B FST"/>
    <m/>
    <n v="101745.164384"/>
    <m/>
    <n v="1"/>
    <m/>
    <n v="130000"/>
    <m/>
    <n v="130000"/>
    <m/>
    <m/>
    <m/>
    <s v="N/A"/>
  </r>
  <r>
    <m/>
    <x v="0"/>
    <m/>
    <s v="MF-FP.24672"/>
    <m/>
    <s v="MF-ST.22128"/>
    <m/>
    <d v="2026-04-23T00:00:00"/>
    <m/>
    <s v="Umum"/>
    <m/>
    <s v="C.12723"/>
    <m/>
    <s v="DAVINA"/>
    <m/>
    <s v="Achmad Indrawanto"/>
    <m/>
    <s v="SERVICE HANDPHONE"/>
    <m/>
    <x v="2"/>
    <m/>
    <s v="MUSTOFA"/>
    <m/>
    <x v="1"/>
    <m/>
    <s v="WAHYU PRATAMA"/>
    <m/>
    <s v="LCD"/>
    <m/>
    <s v="SAMSUNG"/>
    <m/>
    <s v="Samsung J7 prime"/>
    <m/>
    <s v="AKOR-014"/>
    <m/>
    <s v="ORAIMO CABLE TYPE-C 2A OCD-114C"/>
    <m/>
    <n v="15000"/>
    <m/>
    <n v="1"/>
    <m/>
    <n v="20000"/>
    <m/>
    <n v="20000"/>
    <m/>
    <m/>
    <m/>
    <s v="N/A"/>
  </r>
  <r>
    <m/>
    <x v="0"/>
    <m/>
    <s v="MF-FP.24674"/>
    <m/>
    <s v="MF-ST.22126"/>
    <m/>
    <d v="2026-04-22T00:00:00"/>
    <m/>
    <s v="Umum"/>
    <m/>
    <s v="C.13055"/>
    <m/>
    <s v="NAJMA"/>
    <m/>
    <s v="Achmad Indrawanto"/>
    <m/>
    <s v="SERVICE HANDPHONE"/>
    <m/>
    <x v="2"/>
    <m/>
    <s v="ARI MARWAN"/>
    <m/>
    <x v="0"/>
    <m/>
    <s v="WAHYU PRATAMA"/>
    <m/>
    <s v="BATERAI"/>
    <m/>
    <s v="XIAOMI"/>
    <m/>
    <s v="REDMI"/>
    <m/>
    <s v="AKOR-014"/>
    <m/>
    <s v="ORAIMO CABLE TYPE-C 2A OCD-114C"/>
    <m/>
    <n v="15000"/>
    <m/>
    <n v="1"/>
    <m/>
    <n v="20000"/>
    <m/>
    <n v="20000"/>
    <m/>
    <m/>
    <m/>
    <s v="N/A"/>
  </r>
  <r>
    <m/>
    <x v="0"/>
    <m/>
    <s v="MF-FP.24673"/>
    <m/>
    <s v="MF-ST.22049"/>
    <m/>
    <d v="2026-04-20T00:00:00"/>
    <m/>
    <s v="Umum"/>
    <m/>
    <s v="C.13031"/>
    <m/>
    <s v="FARHAN"/>
    <m/>
    <s v="WAHYU PRATAMA"/>
    <m/>
    <s v="SERVICE LAPTOP"/>
    <m/>
    <x v="0"/>
    <m/>
    <s v="N/A"/>
    <m/>
    <x v="3"/>
    <m/>
    <s v="WAHYU PRATAMA"/>
    <m/>
    <s v="BATERAI"/>
    <m/>
    <s v="DELL"/>
    <m/>
    <s v="DELL"/>
    <m/>
    <s v="JASA71"/>
    <m/>
    <s v="JASA REPAIR"/>
    <m/>
    <n v="0"/>
    <m/>
    <n v="1"/>
    <m/>
    <n v="535000"/>
    <m/>
    <n v="535000"/>
    <m/>
    <m/>
    <m/>
    <s v="N/A"/>
  </r>
  <r>
    <m/>
    <x v="0"/>
    <m/>
    <s v="MF-FP.24673"/>
    <m/>
    <s v="MF-ST.22049"/>
    <m/>
    <d v="2026-04-20T00:00:00"/>
    <m/>
    <s v="Umum"/>
    <m/>
    <s v="C.13031"/>
    <m/>
    <s v="FARHAN"/>
    <m/>
    <s v="WAHYU PRATAMA"/>
    <m/>
    <s v="SERVICE LAPTOP"/>
    <m/>
    <x v="1"/>
    <m/>
    <s v="N/A"/>
    <m/>
    <x v="3"/>
    <m/>
    <s v="WAHYU PRATAMA"/>
    <m/>
    <s v="BATERAI"/>
    <m/>
    <s v="DELL"/>
    <m/>
    <s v="DELL"/>
    <m/>
    <s v="103777"/>
    <m/>
    <s v="BATER LPT DELL 7430 E7470 J60J5"/>
    <m/>
    <n v="340000"/>
    <m/>
    <n v="1"/>
    <m/>
    <n v="400000"/>
    <m/>
    <n v="400000"/>
    <m/>
    <m/>
    <m/>
    <s v="N/A"/>
  </r>
  <r>
    <m/>
    <x v="0"/>
    <m/>
    <s v="MF-FP.24673"/>
    <m/>
    <s v="MF-ST.22049"/>
    <m/>
    <d v="2026-04-20T00:00:00"/>
    <m/>
    <s v="Umum"/>
    <m/>
    <s v="C.13031"/>
    <m/>
    <s v="FARHAN"/>
    <m/>
    <s v="WAHYU PRATAMA"/>
    <m/>
    <s v="SERVICE LAPTOP"/>
    <m/>
    <x v="2"/>
    <m/>
    <s v="N/A"/>
    <m/>
    <x v="3"/>
    <m/>
    <s v="WAHYU PRATAMA"/>
    <m/>
    <s v="BATERAI"/>
    <m/>
    <s v="DELL"/>
    <m/>
    <s v="DELL"/>
    <m/>
    <s v="AKOR-014"/>
    <m/>
    <s v="ORAIMO CABLE TYPE-C 2A OCD-114C"/>
    <m/>
    <n v="15000"/>
    <m/>
    <n v="1"/>
    <m/>
    <n v="15000"/>
    <m/>
    <n v="15000"/>
    <m/>
    <m/>
    <m/>
    <s v="N/A"/>
  </r>
  <r>
    <m/>
    <x v="0"/>
    <m/>
    <s v="MF-FP.24675"/>
    <m/>
    <s v="MF-ST.22147"/>
    <m/>
    <d v="2026-04-23T00:00:00"/>
    <m/>
    <s v="Umum"/>
    <m/>
    <s v="C.13073"/>
    <m/>
    <s v="DORA"/>
    <m/>
    <s v="WAHYU PRATAMA"/>
    <m/>
    <s v="SERVICE HANDPHONE"/>
    <m/>
    <x v="2"/>
    <m/>
    <s v="YUVI NOFERIANTO"/>
    <m/>
    <x v="4"/>
    <m/>
    <s v="WAHYU PRATAMA"/>
    <m/>
    <s v="BATERAI"/>
    <m/>
    <s v="XIAOMI"/>
    <m/>
    <s v="NOTE 11 5G"/>
    <m/>
    <s v="AKOR-014"/>
    <m/>
    <s v="ORAIMO CABLE TYPE-C 2A OCD-114C"/>
    <m/>
    <n v="15000"/>
    <m/>
    <n v="1"/>
    <m/>
    <n v="20000"/>
    <m/>
    <n v="20000"/>
    <m/>
    <m/>
    <m/>
    <s v="N/A"/>
  </r>
  <r>
    <m/>
    <x v="0"/>
    <m/>
    <s v="MF-FP.24678"/>
    <m/>
    <s v="MF-ST.22170"/>
    <m/>
    <d v="2026-04-24T00:00:00"/>
    <m/>
    <s v="Member Reguler"/>
    <m/>
    <s v="C.13081"/>
    <m/>
    <s v="TRI MUNAWAROH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4780"/>
    <m/>
    <s v="ROBOT DATA CABLE RBM100 II COLOURFULL TOPLES"/>
    <m/>
    <n v="6236.8288540000003"/>
    <m/>
    <n v="1"/>
    <m/>
    <n v="15000"/>
    <m/>
    <n v="15000"/>
    <m/>
    <s v="Achmad Indrawanto"/>
    <m/>
    <s v="N/A"/>
  </r>
  <r>
    <m/>
    <x v="0"/>
    <m/>
    <s v="MF-FP.24675"/>
    <m/>
    <s v="MF-ST.22147"/>
    <m/>
    <d v="2026-04-23T00:00:00"/>
    <m/>
    <s v="Umum"/>
    <m/>
    <s v="C.13073"/>
    <m/>
    <s v="DORA"/>
    <m/>
    <s v="WAHYU PRATAMA"/>
    <m/>
    <s v="SERVICE HANDPHONE"/>
    <m/>
    <x v="0"/>
    <m/>
    <s v="YUVI NOFERIANTO"/>
    <m/>
    <x v="4"/>
    <m/>
    <s v="WAHYU PRATAMA"/>
    <m/>
    <s v="BATERAI"/>
    <m/>
    <s v="XIAOMI"/>
    <m/>
    <s v="NOTE 11 5G"/>
    <m/>
    <s v="JASA71"/>
    <m/>
    <s v="JASA REPAIR"/>
    <m/>
    <n v="0"/>
    <m/>
    <n v="1"/>
    <m/>
    <n v="200000"/>
    <m/>
    <n v="200000"/>
    <m/>
    <m/>
    <m/>
    <s v="N/A"/>
  </r>
  <r>
    <m/>
    <x v="0"/>
    <m/>
    <s v="MF-FP.24676"/>
    <m/>
    <s v="MF-ST.22168"/>
    <m/>
    <d v="2026-04-24T00:00:00"/>
    <m/>
    <s v="Umum"/>
    <m/>
    <s v="C.11689"/>
    <m/>
    <s v="ANI"/>
    <m/>
    <s v="Achmad Indrawanto"/>
    <m/>
    <s v="SERVICE HANDPHONE"/>
    <m/>
    <x v="0"/>
    <m/>
    <s v="YUVI NOFERIANTO"/>
    <m/>
    <x v="4"/>
    <m/>
    <s v="Achmad Indrawanto"/>
    <m/>
    <s v="SOFTWARE"/>
    <m/>
    <s v="BELUM ADA MERK"/>
    <m/>
    <s v="N/A"/>
    <m/>
    <s v="JASA71"/>
    <m/>
    <s v="JASA REPAIR"/>
    <m/>
    <n v="0"/>
    <m/>
    <n v="1"/>
    <m/>
    <n v="30000"/>
    <m/>
    <n v="30000"/>
    <m/>
    <m/>
    <m/>
    <s v="N/A"/>
  </r>
  <r>
    <m/>
    <x v="0"/>
    <m/>
    <s v="MF-FP.24671"/>
    <m/>
    <s v="MF-ST.21883"/>
    <m/>
    <d v="2026-04-14T00:00:00"/>
    <m/>
    <s v="Member Reguler"/>
    <m/>
    <s v="MJ1664"/>
    <m/>
    <s v="MUH"/>
    <m/>
    <s v="Achmad Indrawanto"/>
    <m/>
    <s v="SERVICE HANDPHONE"/>
    <m/>
    <x v="0"/>
    <m/>
    <s v="EKO RISDIYANTORO JATIMULYA"/>
    <m/>
    <x v="2"/>
    <m/>
    <s v="WAHYU PRATAMA"/>
    <m/>
    <s v="LCD"/>
    <m/>
    <s v="VIVO"/>
    <m/>
    <s v="VIVO V23E"/>
    <m/>
    <s v="JASA71"/>
    <m/>
    <s v="JASA REPAIR"/>
    <m/>
    <n v="0"/>
    <m/>
    <n v="1"/>
    <m/>
    <n v="245000"/>
    <m/>
    <n v="245000"/>
    <m/>
    <s v="Achmad Indrawanto"/>
    <m/>
    <s v="N/A"/>
  </r>
  <r>
    <m/>
    <x v="0"/>
    <m/>
    <s v="MF-FP.24671"/>
    <m/>
    <s v="MF-ST.21883"/>
    <m/>
    <d v="2026-04-14T00:00:00"/>
    <m/>
    <s v="Member Reguler"/>
    <m/>
    <s v="MJ1664"/>
    <m/>
    <s v="MUH"/>
    <m/>
    <s v="Achmad Indrawanto"/>
    <m/>
    <s v="SERVICE HANDPHONE"/>
    <m/>
    <x v="1"/>
    <m/>
    <s v="EKO RISDIYANTORO JATIMULYA"/>
    <m/>
    <x v="2"/>
    <m/>
    <s v="WAHYU PRATAMA"/>
    <m/>
    <s v="LCD"/>
    <m/>
    <s v="VIVO"/>
    <m/>
    <s v="VIVO V23E"/>
    <m/>
    <s v="100350"/>
    <m/>
    <s v="LCD.. VIV V20/V21 4G/V20 SE/V20S/V23E"/>
    <m/>
    <n v="139250"/>
    <m/>
    <n v="1"/>
    <m/>
    <n v="185000"/>
    <m/>
    <n v="185000"/>
    <m/>
    <s v="Achmad Indrawanto"/>
    <m/>
    <s v="N/A"/>
  </r>
  <r>
    <m/>
    <x v="0"/>
    <m/>
    <s v="MF-FP.24671"/>
    <m/>
    <s v="MF-ST.21883"/>
    <m/>
    <d v="2026-04-14T00:00:00"/>
    <m/>
    <s v="Member Reguler"/>
    <m/>
    <s v="MJ1664"/>
    <m/>
    <s v="MUH"/>
    <m/>
    <s v="Achmad Indrawanto"/>
    <m/>
    <s v="SERVICE HANDPHONE"/>
    <m/>
    <x v="2"/>
    <m/>
    <s v="EKO RISDIYANTORO JATIMULYA"/>
    <m/>
    <x v="2"/>
    <m/>
    <s v="WAHYU PRATAMA"/>
    <m/>
    <s v="LCD"/>
    <m/>
    <s v="VIVO"/>
    <m/>
    <s v="VIVO V23E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1"/>
    <m/>
    <s v="MF-FP.24699"/>
    <m/>
    <s v="MF-ST.22186"/>
    <m/>
    <d v="2026-04-25T00:00:00"/>
    <m/>
    <s v="Umum"/>
    <m/>
    <s v="C.13088"/>
    <m/>
    <s v="RAFI"/>
    <m/>
    <s v="HANIF"/>
    <m/>
    <s v="SERVICE HANDPHONE"/>
    <m/>
    <x v="0"/>
    <m/>
    <s v="YUVI NOFERIANTO"/>
    <m/>
    <x v="4"/>
    <m/>
    <s v="HANIF"/>
    <m/>
    <s v="BATERAI"/>
    <m/>
    <s v="VIVO"/>
    <m/>
    <s v="Vivo y21a"/>
    <m/>
    <s v="JASA71"/>
    <m/>
    <s v="JASA REPAIR"/>
    <m/>
    <n v="0"/>
    <m/>
    <n v="1"/>
    <m/>
    <n v="140000"/>
    <m/>
    <n v="140000"/>
    <m/>
    <m/>
    <m/>
    <s v="N/A"/>
  </r>
  <r>
    <m/>
    <x v="1"/>
    <m/>
    <s v="MF-FP.24679"/>
    <m/>
    <s v="MF-ST.22142"/>
    <m/>
    <d v="2026-04-23T00:00:00"/>
    <m/>
    <s v="Umum"/>
    <m/>
    <s v="C.13072"/>
    <m/>
    <s v="RIZKA"/>
    <m/>
    <s v="WAHYU PRATAMA"/>
    <m/>
    <s v="SERVICE HANDPHONE"/>
    <m/>
    <x v="0"/>
    <m/>
    <s v="YUVI NOFERIANTO"/>
    <m/>
    <x v="4"/>
    <m/>
    <s v="WAHYU PRATAMA"/>
    <m/>
    <s v="FLEXIBEL CHARGER (PAPAN KONEKTOR)"/>
    <m/>
    <s v="SAMSUNG"/>
    <m/>
    <s v="S9 PLUS"/>
    <m/>
    <s v="JASA71"/>
    <m/>
    <s v="JASA REPAIR"/>
    <m/>
    <n v="0"/>
    <m/>
    <n v="1"/>
    <m/>
    <n v="135000"/>
    <m/>
    <n v="135000"/>
    <m/>
    <m/>
    <m/>
    <s v="N/A"/>
  </r>
  <r>
    <m/>
    <x v="1"/>
    <m/>
    <s v="MF-FP.24679"/>
    <m/>
    <s v="MF-ST.22142"/>
    <m/>
    <d v="2026-04-23T00:00:00"/>
    <m/>
    <s v="Umum"/>
    <m/>
    <s v="C.13072"/>
    <m/>
    <s v="RIZKA"/>
    <m/>
    <s v="WAHYU PRATAMA"/>
    <m/>
    <s v="SERVICE HANDPHONE"/>
    <m/>
    <x v="1"/>
    <m/>
    <s v="YUVI NOFERIANTO"/>
    <m/>
    <x v="4"/>
    <m/>
    <s v="WAHYU PRATAMA"/>
    <m/>
    <s v="FLEXIBEL CHARGER (PAPAN KONEKTOR)"/>
    <m/>
    <s v="SAMSUNG"/>
    <m/>
    <s v="S9 PLUS"/>
    <m/>
    <s v="105098"/>
    <m/>
    <s v="FLCRG SAM S9 PLUS ORI"/>
    <m/>
    <n v="75000"/>
    <m/>
    <n v="1"/>
    <m/>
    <n v="100000"/>
    <m/>
    <n v="100000"/>
    <m/>
    <m/>
    <m/>
    <s v="N/A"/>
  </r>
  <r>
    <m/>
    <x v="1"/>
    <m/>
    <s v="MF-FP.24679"/>
    <m/>
    <s v="MF-ST.22142"/>
    <m/>
    <d v="2026-04-23T00:00:00"/>
    <m/>
    <s v="Umum"/>
    <m/>
    <s v="C.13072"/>
    <m/>
    <s v="RIZKA"/>
    <m/>
    <s v="WAHYU PRATAMA"/>
    <m/>
    <s v="SERVICE HANDPHONE"/>
    <m/>
    <x v="2"/>
    <m/>
    <s v="YUVI NOFERIANTO"/>
    <m/>
    <x v="4"/>
    <m/>
    <s v="WAHYU PRATAMA"/>
    <m/>
    <s v="FLEXIBEL CHARGER (PAPAN KONEKTOR)"/>
    <m/>
    <s v="SAMSUNG"/>
    <m/>
    <s v="S9 PLUS"/>
    <m/>
    <s v="AKOR-014"/>
    <m/>
    <s v="ORAIMO CABLE TYPE-C 2A OCD-114C"/>
    <m/>
    <n v="15000"/>
    <m/>
    <n v="1"/>
    <m/>
    <n v="15000"/>
    <m/>
    <n v="15000"/>
    <m/>
    <m/>
    <m/>
    <s v="N/A"/>
  </r>
  <r>
    <m/>
    <x v="1"/>
    <m/>
    <s v="MF-FP.24699"/>
    <m/>
    <s v="MF-ST.22186"/>
    <m/>
    <d v="2026-04-25T00:00:00"/>
    <m/>
    <s v="Umum"/>
    <m/>
    <s v="C.13088"/>
    <m/>
    <s v="RAFI"/>
    <m/>
    <s v="HANIF"/>
    <m/>
    <s v="SERVICE HANDPHONE"/>
    <m/>
    <x v="1"/>
    <m/>
    <s v="YUVI NOFERIANTO"/>
    <m/>
    <x v="4"/>
    <m/>
    <s v="HANIF"/>
    <m/>
    <s v="BATERAI"/>
    <m/>
    <s v="VIVO"/>
    <m/>
    <s v="Vivo y21a"/>
    <m/>
    <s v="103511"/>
    <m/>
    <s v="BATER VIV Y21/Y21s/Y33s BS1 B-S1"/>
    <m/>
    <n v="99312.806312999994"/>
    <m/>
    <n v="1"/>
    <m/>
    <n v="140000"/>
    <m/>
    <n v="140000"/>
    <m/>
    <m/>
    <m/>
    <s v="N/A"/>
  </r>
  <r>
    <m/>
    <x v="1"/>
    <m/>
    <s v="MF-FP.24699"/>
    <m/>
    <s v="MF-ST.22186"/>
    <m/>
    <d v="2026-04-25T00:00:00"/>
    <m/>
    <s v="Umum"/>
    <m/>
    <s v="C.13088"/>
    <m/>
    <s v="RAFI"/>
    <m/>
    <s v="HANIF"/>
    <m/>
    <s v="SERVICE HANDPHONE"/>
    <m/>
    <x v="2"/>
    <m/>
    <s v="YUVI NOFERIANTO"/>
    <m/>
    <x v="4"/>
    <m/>
    <s v="HANIF"/>
    <m/>
    <s v="BATERAI"/>
    <m/>
    <s v="VIVO"/>
    <m/>
    <s v="Vivo y21a"/>
    <m/>
    <s v="AKOR-014"/>
    <m/>
    <s v="ORAIMO CABLE TYPE-C 2A OCD-114C"/>
    <m/>
    <n v="15000"/>
    <m/>
    <n v="1"/>
    <m/>
    <n v="20000"/>
    <m/>
    <n v="20000"/>
    <m/>
    <m/>
    <m/>
    <s v="N/A"/>
  </r>
  <r>
    <m/>
    <x v="1"/>
    <m/>
    <s v="MF-FP.24681"/>
    <m/>
    <s v="MF-ST.22175"/>
    <m/>
    <d v="2026-04-25T00:00:00"/>
    <m/>
    <s v="Umum"/>
    <m/>
    <s v="C.13084"/>
    <m/>
    <s v="JESICCA"/>
    <m/>
    <s v="WAHYU PRATAMA"/>
    <m/>
    <s v="SERVICE HANDPHONE"/>
    <m/>
    <x v="0"/>
    <m/>
    <s v="EKO RISDIYANTORO JATIMULYA"/>
    <m/>
    <x v="2"/>
    <m/>
    <s v="WAHYU PRATAMA"/>
    <m/>
    <s v="LCD"/>
    <m/>
    <s v="VIVO"/>
    <m/>
    <s v="V15"/>
    <m/>
    <s v="JASA71"/>
    <m/>
    <s v="JASA REPAIR"/>
    <m/>
    <n v="0"/>
    <m/>
    <n v="1"/>
    <m/>
    <n v="250000"/>
    <m/>
    <n v="250000"/>
    <m/>
    <m/>
    <m/>
    <s v="N/A"/>
  </r>
  <r>
    <m/>
    <x v="1"/>
    <m/>
    <s v="MF-FP.24682"/>
    <m/>
    <s v="MF-ST.22137"/>
    <m/>
    <d v="2026-04-23T00:00:00"/>
    <m/>
    <s v="Member Reguler"/>
    <m/>
    <s v="C.04438"/>
    <m/>
    <s v="Nailah septiani"/>
    <m/>
    <s v="WAHYU PRATAMA"/>
    <m/>
    <s v="SERVICE HANDPHONE"/>
    <m/>
    <x v="0"/>
    <m/>
    <s v="EKO RISDIYANTORO JATIMULYA"/>
    <m/>
    <x v="2"/>
    <m/>
    <s v="WAHYU PRATAMA"/>
    <m/>
    <s v="MATI TOTAL"/>
    <m/>
    <s v="XIAOMI"/>
    <m/>
    <s v="NOTE 10 PRO"/>
    <m/>
    <s v="JASA71"/>
    <m/>
    <s v="JASA REPAIR"/>
    <m/>
    <n v="0"/>
    <m/>
    <n v="1"/>
    <m/>
    <n v="620000"/>
    <m/>
    <n v="620000"/>
    <m/>
    <m/>
    <m/>
    <s v="N/A"/>
  </r>
  <r>
    <m/>
    <x v="1"/>
    <m/>
    <s v="MF-FP.24682"/>
    <m/>
    <s v="MF-ST.22137"/>
    <m/>
    <d v="2026-04-23T00:00:00"/>
    <m/>
    <s v="Member Reguler"/>
    <m/>
    <s v="C.04438"/>
    <m/>
    <s v="Nailah septiani"/>
    <m/>
    <s v="WAHYU PRATAMA"/>
    <m/>
    <s v="SERVICE HANDPHONE"/>
    <m/>
    <x v="2"/>
    <m/>
    <s v="EKO RISDIYANTORO JATIMULYA"/>
    <m/>
    <x v="2"/>
    <m/>
    <s v="WAHYU PRATAMA"/>
    <m/>
    <s v="MATI TOTAL"/>
    <m/>
    <s v="XIAOMI"/>
    <m/>
    <s v="NOTE 10 PRO"/>
    <m/>
    <s v="100069"/>
    <m/>
    <s v="FOOMEE KABEL DATA DT10 MICRO 2.4A"/>
    <m/>
    <n v="27300"/>
    <m/>
    <n v="1"/>
    <m/>
    <n v="30000"/>
    <m/>
    <n v="30000"/>
    <m/>
    <m/>
    <m/>
    <s v="N/A"/>
  </r>
  <r>
    <m/>
    <x v="1"/>
    <m/>
    <s v="MF-FP.24700"/>
    <m/>
    <s v="MF-ST.22134"/>
    <m/>
    <d v="2026-04-23T00:00:00"/>
    <m/>
    <s v="Member Reguler"/>
    <m/>
    <s v="C.13070"/>
    <m/>
    <s v="ILHAM"/>
    <m/>
    <s v="Achmad Indrawanto"/>
    <m/>
    <s v="SERVICE HANDPHONE"/>
    <m/>
    <x v="1"/>
    <m/>
    <s v="MUSTOFA"/>
    <m/>
    <x v="1"/>
    <m/>
    <s v="HANIF"/>
    <m/>
    <s v="LCD"/>
    <m/>
    <s v="SAMSUNG"/>
    <m/>
    <s v="samsung m32"/>
    <m/>
    <s v="104675"/>
    <m/>
    <s v="LCD.. SAM A32 4G/M32 4G B"/>
    <m/>
    <n v="161266.66666700001"/>
    <m/>
    <n v="1"/>
    <m/>
    <n v="230000"/>
    <m/>
    <n v="230000"/>
    <m/>
    <s v="Achmad Indrawanto"/>
    <m/>
    <s v="N/A"/>
  </r>
  <r>
    <m/>
    <x v="1"/>
    <m/>
    <s v="MF-FP.24700"/>
    <m/>
    <s v="MF-ST.22134"/>
    <m/>
    <d v="2026-04-23T00:00:00"/>
    <m/>
    <s v="Member Reguler"/>
    <m/>
    <s v="C.13070"/>
    <m/>
    <s v="ILHAM"/>
    <m/>
    <s v="Achmad Indrawanto"/>
    <m/>
    <s v="SERVICE HANDPHONE"/>
    <m/>
    <x v="0"/>
    <m/>
    <s v="MUSTOFA"/>
    <m/>
    <x v="1"/>
    <m/>
    <s v="HANIF"/>
    <m/>
    <s v="LCD"/>
    <m/>
    <s v="SAMSUNG"/>
    <m/>
    <s v="samsung m32"/>
    <m/>
    <s v="JASA71"/>
    <m/>
    <s v="JASA REPAIR"/>
    <m/>
    <n v="0"/>
    <m/>
    <n v="1"/>
    <m/>
    <n v="150000"/>
    <m/>
    <n v="150000"/>
    <m/>
    <s v="Achmad Indrawanto"/>
    <m/>
    <s v="N/A"/>
  </r>
  <r>
    <m/>
    <x v="1"/>
    <m/>
    <s v="MF-FP.24680"/>
    <m/>
    <s v="MF-ST.22172"/>
    <m/>
    <d v="2026-04-25T00:00:00"/>
    <m/>
    <s v="Member Reguler"/>
    <m/>
    <s v="C.05766"/>
    <m/>
    <s v="ANTO"/>
    <m/>
    <s v="WAHYU PRATAMA"/>
    <m/>
    <s v="SERVICE HANDPHONE"/>
    <m/>
    <x v="0"/>
    <m/>
    <s v="EKO RISDIYANTORO JATIMULYA"/>
    <m/>
    <x v="2"/>
    <m/>
    <s v="WAHYU PRATAMA"/>
    <m/>
    <s v="REPAIR"/>
    <m/>
    <s v="SAMSUNG"/>
    <m/>
    <s v="SAM"/>
    <m/>
    <s v="JASA71"/>
    <m/>
    <s v="JASA REPAIR"/>
    <m/>
    <n v="0"/>
    <m/>
    <n v="1"/>
    <m/>
    <n v="35000"/>
    <m/>
    <n v="35000"/>
    <m/>
    <s v="Achmad Indrawanto"/>
    <m/>
    <s v="N/A"/>
  </r>
  <r>
    <m/>
    <x v="1"/>
    <m/>
    <s v="MF-FP.24681"/>
    <m/>
    <s v="MF-ST.22175"/>
    <m/>
    <d v="2026-04-25T00:00:00"/>
    <m/>
    <s v="Umum"/>
    <m/>
    <s v="C.13084"/>
    <m/>
    <s v="JESICCA"/>
    <m/>
    <s v="WAHYU PRATAMA"/>
    <m/>
    <s v="SERVICE HANDPHONE"/>
    <m/>
    <x v="1"/>
    <m/>
    <s v="EKO RISDIYANTORO JATIMULYA"/>
    <m/>
    <x v="2"/>
    <m/>
    <s v="WAHYU PRATAMA"/>
    <m/>
    <s v="LCD"/>
    <m/>
    <s v="VIVO"/>
    <m/>
    <s v="V15"/>
    <m/>
    <s v="100236"/>
    <m/>
    <s v="LCD.. VIV V15 B"/>
    <m/>
    <n v="124758.108108"/>
    <m/>
    <n v="1"/>
    <m/>
    <n v="135000"/>
    <m/>
    <n v="135000"/>
    <m/>
    <m/>
    <m/>
    <s v="N/A"/>
  </r>
  <r>
    <m/>
    <x v="1"/>
    <m/>
    <s v="MF-FP.24681"/>
    <m/>
    <s v="MF-ST.22175"/>
    <m/>
    <d v="2026-04-25T00:00:00"/>
    <m/>
    <s v="Umum"/>
    <m/>
    <s v="C.13084"/>
    <m/>
    <s v="JESICCA"/>
    <m/>
    <s v="WAHYU PRATAMA"/>
    <m/>
    <s v="SERVICE HANDPHONE"/>
    <m/>
    <x v="2"/>
    <m/>
    <s v="EKO RISDIYANTORO JATIMULYA"/>
    <m/>
    <x v="2"/>
    <m/>
    <s v="WAHYU PRATAMA"/>
    <m/>
    <s v="LCD"/>
    <m/>
    <s v="VIVO"/>
    <m/>
    <s v="V15"/>
    <m/>
    <s v="AKOR-014"/>
    <m/>
    <s v="ORAIMO CABLE TYPE-C 2A OCD-114C"/>
    <m/>
    <n v="15000"/>
    <m/>
    <n v="1"/>
    <m/>
    <n v="15000"/>
    <m/>
    <n v="15000"/>
    <m/>
    <m/>
    <m/>
    <s v="N/A"/>
  </r>
  <r>
    <m/>
    <x v="1"/>
    <m/>
    <s v="MF-FP.24683"/>
    <m/>
    <m/>
    <m/>
    <m/>
    <m/>
    <m/>
    <m/>
    <s v="C.12406"/>
    <m/>
    <s v="MFLASH SOLUTION"/>
    <m/>
    <m/>
    <m/>
    <s v="PENJUALAN AKSESORIS"/>
    <m/>
    <x v="2"/>
    <m/>
    <m/>
    <m/>
    <x v="5"/>
    <m/>
    <s v="TEGAR PUTRA YANSA SALES"/>
    <m/>
    <m/>
    <m/>
    <m/>
    <m/>
    <m/>
    <m/>
    <s v="107193"/>
    <m/>
    <s v="KULKAS POLYTRON 2 PINTU PRW29HB"/>
    <m/>
    <n v="3474110"/>
    <m/>
    <n v="1"/>
    <m/>
    <n v="4250000"/>
    <m/>
    <n v="4250000"/>
    <m/>
    <s v="TEGAR PUTRA YANSA SALES"/>
    <m/>
    <s v="N/A"/>
  </r>
  <r>
    <m/>
    <x v="1"/>
    <m/>
    <s v="MF-FP.24684"/>
    <m/>
    <s v="MF-ST.22176"/>
    <m/>
    <d v="2026-04-25T00:00:00"/>
    <m/>
    <s v="Umum"/>
    <m/>
    <s v="C.13085"/>
    <m/>
    <s v="FANI"/>
    <m/>
    <s v="WAHYU PRATAMA"/>
    <m/>
    <s v="SERVICE HANDPHONE"/>
    <m/>
    <x v="0"/>
    <m/>
    <s v="EKO RISDIYANTORO JATIMULYA"/>
    <m/>
    <x v="2"/>
    <m/>
    <s v="WAHYU PRATAMA"/>
    <m/>
    <s v="LCD"/>
    <m/>
    <s v="VIVO"/>
    <m/>
    <s v="V25E"/>
    <m/>
    <s v="JASA71"/>
    <m/>
    <s v="JASA REPAIR"/>
    <m/>
    <n v="0"/>
    <m/>
    <n v="1"/>
    <m/>
    <n v="200000"/>
    <m/>
    <n v="200000"/>
    <m/>
    <m/>
    <m/>
    <s v="N/A"/>
  </r>
  <r>
    <m/>
    <x v="1"/>
    <m/>
    <s v="MF-FP.24684"/>
    <m/>
    <s v="MF-ST.22176"/>
    <m/>
    <d v="2026-04-25T00:00:00"/>
    <m/>
    <s v="Umum"/>
    <m/>
    <s v="C.13085"/>
    <m/>
    <s v="FANI"/>
    <m/>
    <s v="WAHYU PRATAMA"/>
    <m/>
    <s v="SERVICE HANDPHONE"/>
    <m/>
    <x v="1"/>
    <m/>
    <s v="EKO RISDIYANTORO JATIMULYA"/>
    <m/>
    <x v="2"/>
    <m/>
    <s v="WAHYU PRATAMA"/>
    <m/>
    <s v="LCD"/>
    <m/>
    <s v="VIVO"/>
    <m/>
    <s v="V25E"/>
    <m/>
    <s v="105344"/>
    <m/>
    <s v="LCD.. VIV V21 5G/V25 5G/V25E/T1 PRO B"/>
    <m/>
    <n v="156500"/>
    <m/>
    <n v="1"/>
    <m/>
    <n v="210000"/>
    <m/>
    <n v="210000"/>
    <m/>
    <m/>
    <m/>
    <s v="N/A"/>
  </r>
  <r>
    <m/>
    <x v="1"/>
    <m/>
    <s v="MF-FP.24684"/>
    <m/>
    <s v="MF-ST.22176"/>
    <m/>
    <d v="2026-04-25T00:00:00"/>
    <m/>
    <s v="Umum"/>
    <m/>
    <s v="C.13085"/>
    <m/>
    <s v="FANI"/>
    <m/>
    <s v="WAHYU PRATAMA"/>
    <m/>
    <s v="SERVICE HANDPHONE"/>
    <m/>
    <x v="2"/>
    <m/>
    <s v="EKO RISDIYANTORO JATIMULYA"/>
    <m/>
    <x v="2"/>
    <m/>
    <s v="WAHYU PRATAMA"/>
    <m/>
    <s v="LCD"/>
    <m/>
    <s v="VIVO"/>
    <m/>
    <s v="V25E"/>
    <m/>
    <s v="AKOR-014"/>
    <m/>
    <s v="ORAIMO CABLE TYPE-C 2A OCD-114C"/>
    <m/>
    <n v="15000"/>
    <m/>
    <n v="1"/>
    <m/>
    <n v="15000"/>
    <m/>
    <n v="15000"/>
    <m/>
    <m/>
    <m/>
    <s v="N/A"/>
  </r>
  <r>
    <m/>
    <x v="1"/>
    <m/>
    <s v="MF-FP.24684"/>
    <m/>
    <s v="MF-ST.22176"/>
    <m/>
    <d v="2026-04-25T00:00:00"/>
    <m/>
    <s v="Umum"/>
    <m/>
    <s v="C.13085"/>
    <m/>
    <s v="FANI"/>
    <m/>
    <s v="WAHYU PRATAMA"/>
    <m/>
    <s v="SERVICE HANDPHONE"/>
    <m/>
    <x v="2"/>
    <m/>
    <s v="EKO RISDIYANTORO JATIMULYA"/>
    <m/>
    <x v="2"/>
    <m/>
    <s v="WAHYU PRATAMA"/>
    <m/>
    <s v="LCD"/>
    <m/>
    <s v="VIVO"/>
    <m/>
    <s v="V25E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1"/>
    <m/>
    <s v="MF-FP.24700"/>
    <m/>
    <s v="MF-ST.22134"/>
    <m/>
    <d v="2026-04-23T00:00:00"/>
    <m/>
    <s v="Member Reguler"/>
    <m/>
    <s v="C.13070"/>
    <m/>
    <s v="ILHAM"/>
    <m/>
    <s v="Achmad Indrawanto"/>
    <m/>
    <s v="SERVICE HANDPHONE"/>
    <m/>
    <x v="2"/>
    <m/>
    <s v="MUSTOFA"/>
    <m/>
    <x v="1"/>
    <m/>
    <s v="HANIF"/>
    <m/>
    <s v="LCD"/>
    <m/>
    <s v="SAMSUNG"/>
    <m/>
    <s v="samsung m32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1"/>
    <m/>
    <s v="MF-FP.24685"/>
    <m/>
    <s v="MF-ST.22177"/>
    <m/>
    <d v="2026-04-25T00:00:00"/>
    <m/>
    <s v="Umum"/>
    <m/>
    <s v="C.05073"/>
    <m/>
    <s v="IBU YANTI"/>
    <m/>
    <s v="WAHYU PRATAMA"/>
    <m/>
    <s v="SERVICE HANDPHONE"/>
    <m/>
    <x v="0"/>
    <m/>
    <s v="EKO RISDIYANTORO JATIMULYA"/>
    <m/>
    <x v="2"/>
    <m/>
    <s v="WAHYU PRATAMA"/>
    <m/>
    <s v="REPAIR"/>
    <m/>
    <s v="SAMSUNG"/>
    <m/>
    <s v="A52"/>
    <m/>
    <s v="JASA71"/>
    <m/>
    <s v="JASA REPAIR"/>
    <m/>
    <n v="0"/>
    <m/>
    <n v="1"/>
    <m/>
    <n v="50000"/>
    <m/>
    <n v="50000"/>
    <m/>
    <m/>
    <m/>
    <s v="N/A"/>
  </r>
  <r>
    <m/>
    <x v="1"/>
    <m/>
    <s v="MF-FP.24686"/>
    <m/>
    <s v="MF-ST.22171"/>
    <m/>
    <d v="2026-04-25T00:00:00"/>
    <m/>
    <s v="Umum"/>
    <m/>
    <s v="C.13082"/>
    <m/>
    <s v="JEF"/>
    <m/>
    <s v="WAHYU PRATAMA"/>
    <m/>
    <s v="SERVICE HANDPHONE"/>
    <m/>
    <x v="0"/>
    <m/>
    <s v="EKO RISDIYANTORO JATIMULYA"/>
    <m/>
    <x v="2"/>
    <m/>
    <s v="WAHYU PRATAMA"/>
    <m/>
    <s v="MATI TOTAL"/>
    <m/>
    <s v="SAMSUNG"/>
    <m/>
    <s v="Samsung tab a9 plus"/>
    <m/>
    <s v="JASA71"/>
    <m/>
    <s v="JASA REPAIR"/>
    <m/>
    <n v="0"/>
    <m/>
    <n v="1"/>
    <m/>
    <n v="325000"/>
    <m/>
    <n v="325000"/>
    <m/>
    <m/>
    <m/>
    <s v="N/A"/>
  </r>
  <r>
    <m/>
    <x v="1"/>
    <m/>
    <s v="MF-FP.24686"/>
    <m/>
    <s v="MF-ST.22171"/>
    <m/>
    <d v="2026-04-25T00:00:00"/>
    <m/>
    <s v="Umum"/>
    <m/>
    <s v="C.13082"/>
    <m/>
    <s v="JEF"/>
    <m/>
    <s v="WAHYU PRATAMA"/>
    <m/>
    <s v="SERVICE HANDPHONE"/>
    <m/>
    <x v="1"/>
    <m/>
    <s v="EKO RISDIYANTORO JATIMULYA"/>
    <m/>
    <x v="2"/>
    <m/>
    <s v="WAHYU PRATAMA"/>
    <m/>
    <s v="MATI TOTAL"/>
    <m/>
    <s v="SAMSUNG"/>
    <m/>
    <s v="Samsung tab a9 plus"/>
    <m/>
    <s v="106792"/>
    <m/>
    <s v="FLCRG SAM TAB A9 PLUS X210 X215 X216B"/>
    <m/>
    <n v="21000"/>
    <m/>
    <n v="1"/>
    <m/>
    <n v="35000"/>
    <m/>
    <n v="35000"/>
    <m/>
    <m/>
    <m/>
    <s v="N/A"/>
  </r>
  <r>
    <m/>
    <x v="1"/>
    <m/>
    <s v="MF-FP.24686"/>
    <m/>
    <s v="MF-ST.22171"/>
    <m/>
    <d v="2026-04-25T00:00:00"/>
    <m/>
    <s v="Umum"/>
    <m/>
    <s v="C.13082"/>
    <m/>
    <s v="JEF"/>
    <m/>
    <s v="WAHYU PRATAMA"/>
    <m/>
    <s v="SERVICE HANDPHONE"/>
    <m/>
    <x v="2"/>
    <m/>
    <s v="EKO RISDIYANTORO JATIMULYA"/>
    <m/>
    <x v="2"/>
    <m/>
    <s v="WAHYU PRATAMA"/>
    <m/>
    <s v="MATI TOTAL"/>
    <m/>
    <s v="SAMSUNG"/>
    <m/>
    <s v="Samsung tab a9 plus"/>
    <m/>
    <s v="AKOR-014"/>
    <m/>
    <s v="ORAIMO CABLE TYPE-C 2A OCD-114C"/>
    <m/>
    <n v="15000"/>
    <m/>
    <n v="1"/>
    <m/>
    <n v="15000"/>
    <m/>
    <n v="15000"/>
    <m/>
    <m/>
    <m/>
    <s v="N/A"/>
  </r>
  <r>
    <m/>
    <x v="1"/>
    <m/>
    <s v="MF-FP.24687"/>
    <m/>
    <s v="MF-ST.22117"/>
    <m/>
    <d v="2026-04-22T00:00:00"/>
    <m/>
    <s v="Member Reguler"/>
    <m/>
    <s v="C.12807"/>
    <m/>
    <s v="MARETA"/>
    <m/>
    <s v="Achmad Indrawanto"/>
    <m/>
    <s v="PENJUALAN AKSESORIS"/>
    <m/>
    <x v="2"/>
    <m/>
    <s v="N/A"/>
    <m/>
    <x v="5"/>
    <m/>
    <s v="WAHYU PRATAMA"/>
    <m/>
    <s v="N/A"/>
    <m/>
    <s v="SAMSUNG"/>
    <m/>
    <s v="SAMSUNG A51"/>
    <m/>
    <s v="107131"/>
    <m/>
    <s v="TEMPERED GLASS PRIVACY ALL TIPE"/>
    <m/>
    <n v="12500"/>
    <m/>
    <n v="1"/>
    <m/>
    <n v="75000"/>
    <m/>
    <n v="75000"/>
    <m/>
    <s v="Achmad Indrawanto"/>
    <m/>
    <s v="N/A"/>
  </r>
  <r>
    <m/>
    <x v="1"/>
    <m/>
    <s v="MF-FP.24707"/>
    <m/>
    <s v="MF-ST.22180"/>
    <m/>
    <d v="2026-04-25T00:00:00"/>
    <m/>
    <s v="Umum"/>
    <m/>
    <s v="C.13086"/>
    <m/>
    <s v="SUSAN"/>
    <m/>
    <s v="WAHYU PRATAMA"/>
    <m/>
    <s v="SERVICE HANDPHONE"/>
    <m/>
    <x v="0"/>
    <m/>
    <s v="ARIFIN SANTOSO JATIMULYA"/>
    <m/>
    <x v="6"/>
    <m/>
    <s v="HANIF"/>
    <m/>
    <s v="KEYBOARD"/>
    <m/>
    <s v="ASUS"/>
    <m/>
    <s v="Asus M3400Q"/>
    <m/>
    <s v="JASA71"/>
    <m/>
    <s v="JASA REPAIR"/>
    <m/>
    <n v="0"/>
    <m/>
    <n v="1"/>
    <m/>
    <n v="430000"/>
    <m/>
    <n v="430000"/>
    <m/>
    <m/>
    <m/>
    <s v="N/A"/>
  </r>
  <r>
    <m/>
    <x v="1"/>
    <m/>
    <s v="MF-FP.24707"/>
    <m/>
    <s v="MF-ST.22180"/>
    <m/>
    <d v="2026-04-25T00:00:00"/>
    <m/>
    <s v="Umum"/>
    <m/>
    <s v="C.13086"/>
    <m/>
    <s v="SUSAN"/>
    <m/>
    <s v="WAHYU PRATAMA"/>
    <m/>
    <s v="SERVICE HANDPHONE"/>
    <m/>
    <x v="2"/>
    <m/>
    <s v="ARIFIN SANTOSO JATIMULYA"/>
    <m/>
    <x v="6"/>
    <m/>
    <s v="HANIF"/>
    <m/>
    <s v="KEYBOARD"/>
    <m/>
    <s v="ASUS"/>
    <m/>
    <s v="Asus M3400Q"/>
    <m/>
    <s v="AKOR-014"/>
    <m/>
    <s v="ORAIMO CABLE TYPE-C 2A OCD-114C"/>
    <m/>
    <n v="15000"/>
    <m/>
    <n v="1"/>
    <m/>
    <n v="20000"/>
    <m/>
    <n v="20000"/>
    <m/>
    <m/>
    <m/>
    <s v="N/A"/>
  </r>
  <r>
    <m/>
    <x v="1"/>
    <m/>
    <s v="MF-FP.24702"/>
    <m/>
    <s v="MF-ST.22169"/>
    <m/>
    <d v="2026-04-24T00:00:00"/>
    <m/>
    <s v="Umum"/>
    <m/>
    <s v="C.13080"/>
    <m/>
    <s v="ALIFTA"/>
    <m/>
    <s v="WAHYU PRATAMA"/>
    <m/>
    <s v="SERVICE HANDPHONE"/>
    <m/>
    <x v="0"/>
    <m/>
    <s v="ARI MARWAN"/>
    <m/>
    <x v="0"/>
    <m/>
    <s v="HANIF"/>
    <m/>
    <s v="BATERAI"/>
    <m/>
    <s v="SAMSUNG"/>
    <m/>
    <s v="A24"/>
    <m/>
    <s v="JASA71"/>
    <m/>
    <s v="JASA REPAIR"/>
    <m/>
    <n v="0"/>
    <m/>
    <n v="1"/>
    <m/>
    <n v="250000"/>
    <m/>
    <n v="250000"/>
    <m/>
    <m/>
    <m/>
    <s v="N/A"/>
  </r>
  <r>
    <m/>
    <x v="1"/>
    <m/>
    <s v="MF-FP.24700"/>
    <m/>
    <m/>
    <m/>
    <m/>
    <m/>
    <m/>
    <m/>
    <s v="C.13070"/>
    <m/>
    <s v="ILHAM"/>
    <m/>
    <m/>
    <m/>
    <s v="SERVICE HANDPHONE"/>
    <m/>
    <x v="2"/>
    <m/>
    <m/>
    <m/>
    <x v="1"/>
    <m/>
    <s v="HANIF"/>
    <m/>
    <m/>
    <m/>
    <m/>
    <m/>
    <m/>
    <m/>
    <s v="100025"/>
    <m/>
    <s v="VIVAN HYDROGEL BASIC CRYSTAL CLEAR VSP01T"/>
    <m/>
    <n v="11151.582562"/>
    <m/>
    <n v="1"/>
    <m/>
    <n v="75000"/>
    <m/>
    <n v="75000"/>
    <m/>
    <s v="Achmad Indrawanto"/>
    <m/>
    <s v="N/A"/>
  </r>
  <r>
    <m/>
    <x v="1"/>
    <m/>
    <s v="MF-FP.24702"/>
    <m/>
    <s v="MF-ST.22169"/>
    <m/>
    <d v="2026-04-24T00:00:00"/>
    <m/>
    <s v="Umum"/>
    <m/>
    <s v="C.13080"/>
    <m/>
    <s v="ALIFTA"/>
    <m/>
    <s v="WAHYU PRATAMA"/>
    <m/>
    <s v="SERVICE HANDPHONE"/>
    <m/>
    <x v="1"/>
    <m/>
    <s v="ARI MARWAN"/>
    <m/>
    <x v="0"/>
    <m/>
    <s v="HANIF"/>
    <m/>
    <s v="BATERAI"/>
    <m/>
    <s v="SAMSUNG"/>
    <m/>
    <s v="A24"/>
    <m/>
    <s v="105711"/>
    <m/>
    <s v="BATER SAM A24 4G EB-BA245ABY"/>
    <m/>
    <n v="132000"/>
    <m/>
    <n v="1"/>
    <m/>
    <n v="150000"/>
    <m/>
    <n v="150000"/>
    <m/>
    <m/>
    <m/>
    <s v="N/A"/>
  </r>
  <r>
    <m/>
    <x v="1"/>
    <m/>
    <s v="MF-FP.24702"/>
    <m/>
    <s v="MF-ST.22169"/>
    <m/>
    <d v="2026-04-24T00:00:00"/>
    <m/>
    <s v="Umum"/>
    <m/>
    <s v="C.13080"/>
    <m/>
    <s v="ALIFTA"/>
    <m/>
    <s v="WAHYU PRATAMA"/>
    <m/>
    <s v="SERVICE HANDPHONE"/>
    <m/>
    <x v="1"/>
    <m/>
    <s v="ARI MARWAN"/>
    <m/>
    <x v="0"/>
    <m/>
    <s v="HANIF"/>
    <m/>
    <s v="BATERAI"/>
    <m/>
    <s v="SAMSUNG"/>
    <m/>
    <s v="A24"/>
    <m/>
    <s v="107225"/>
    <m/>
    <s v="FLFNG SAM A24"/>
    <m/>
    <n v="47500"/>
    <m/>
    <n v="1"/>
    <m/>
    <n v="80000"/>
    <m/>
    <n v="80000"/>
    <m/>
    <m/>
    <m/>
    <s v="N/A"/>
  </r>
  <r>
    <m/>
    <x v="1"/>
    <m/>
    <s v="MF-FP.24702"/>
    <m/>
    <s v="MF-ST.22169"/>
    <m/>
    <d v="2026-04-24T00:00:00"/>
    <m/>
    <s v="Umum"/>
    <m/>
    <s v="C.13080"/>
    <m/>
    <s v="ALIFTA"/>
    <m/>
    <s v="WAHYU PRATAMA"/>
    <m/>
    <s v="SERVICE HANDPHONE"/>
    <m/>
    <x v="2"/>
    <m/>
    <s v="ARI MARWAN"/>
    <m/>
    <x v="0"/>
    <m/>
    <s v="HANIF"/>
    <m/>
    <s v="BATERAI"/>
    <m/>
    <s v="SAMSUNG"/>
    <m/>
    <s v="A24"/>
    <m/>
    <s v="AKOR-014"/>
    <m/>
    <s v="ORAIMO CABLE TYPE-C 2A OCD-114C"/>
    <m/>
    <n v="15000"/>
    <m/>
    <n v="1"/>
    <m/>
    <n v="20000"/>
    <m/>
    <n v="20000"/>
    <m/>
    <m/>
    <m/>
    <s v="N/A"/>
  </r>
  <r>
    <m/>
    <x v="1"/>
    <m/>
    <s v="MF-FP.24705"/>
    <m/>
    <s v="MF-ST.22193"/>
    <m/>
    <d v="2026-04-25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1474"/>
    <m/>
    <s v="BROOKLYN TPGS. IPH 13/IPH 13 PRO/IPH 14 SPY/PRIVACY"/>
    <m/>
    <n v="85001.666666999998"/>
    <m/>
    <n v="1"/>
    <m/>
    <n v="150000"/>
    <m/>
    <n v="150000"/>
    <m/>
    <m/>
    <m/>
    <s v="N/A"/>
  </r>
  <r>
    <m/>
    <x v="1"/>
    <m/>
    <s v="MF-FP.24705"/>
    <m/>
    <s v="MF-ST.22193"/>
    <m/>
    <d v="2026-04-25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4779"/>
    <m/>
    <s v="ROBOT DATA CABLE RBM100S SPECIAL EDITION COLOURFULL"/>
    <m/>
    <n v="5809.2071429999996"/>
    <m/>
    <n v="1"/>
    <m/>
    <n v="15000"/>
    <m/>
    <n v="15000"/>
    <m/>
    <m/>
    <m/>
    <s v="N/A"/>
  </r>
  <r>
    <m/>
    <x v="1"/>
    <m/>
    <s v="MF-FP.24703"/>
    <m/>
    <s v="MF-ST.22188"/>
    <m/>
    <d v="2026-04-25T00:00:00"/>
    <m/>
    <s v="Umum"/>
    <m/>
    <s v="C.13090"/>
    <m/>
    <s v="DINDA"/>
    <m/>
    <s v="HANIF"/>
    <m/>
    <s v="SERVICE HANDPHONE"/>
    <m/>
    <x v="0"/>
    <m/>
    <s v="YUVI NOFERIANTO"/>
    <m/>
    <x v="4"/>
    <m/>
    <s v="HANIF"/>
    <m/>
    <s v="LCD"/>
    <m/>
    <s v="APPLE"/>
    <m/>
    <s v="7 PLUS"/>
    <m/>
    <s v="JASA71"/>
    <m/>
    <s v="JASA REPAIR"/>
    <m/>
    <n v="0"/>
    <m/>
    <n v="1"/>
    <m/>
    <n v="280000"/>
    <m/>
    <n v="280000"/>
    <m/>
    <m/>
    <m/>
    <s v="N/A"/>
  </r>
  <r>
    <m/>
    <x v="1"/>
    <m/>
    <s v="MF-FP.24703"/>
    <m/>
    <s v="MF-ST.22188"/>
    <m/>
    <d v="2026-04-25T00:00:00"/>
    <m/>
    <s v="Umum"/>
    <m/>
    <s v="C.13090"/>
    <m/>
    <s v="DINDA"/>
    <m/>
    <s v="HANIF"/>
    <m/>
    <s v="SERVICE HANDPHONE"/>
    <m/>
    <x v="1"/>
    <m/>
    <s v="YUVI NOFERIANTO"/>
    <m/>
    <x v="4"/>
    <m/>
    <s v="HANIF"/>
    <m/>
    <s v="LCD"/>
    <m/>
    <s v="APPLE"/>
    <m/>
    <s v="7 PLUS"/>
    <m/>
    <s v="100221"/>
    <m/>
    <s v="LCD.. IPH 7 PLUS B FST"/>
    <m/>
    <n v="102092.728395"/>
    <m/>
    <n v="1"/>
    <m/>
    <n v="150000"/>
    <m/>
    <n v="150000"/>
    <m/>
    <m/>
    <m/>
    <s v="N/A"/>
  </r>
  <r>
    <m/>
    <x v="1"/>
    <m/>
    <s v="MF-FP.24703"/>
    <m/>
    <s v="MF-ST.22188"/>
    <m/>
    <d v="2026-04-25T00:00:00"/>
    <m/>
    <s v="Umum"/>
    <m/>
    <s v="C.13090"/>
    <m/>
    <s v="DINDA"/>
    <m/>
    <s v="HANIF"/>
    <m/>
    <s v="SERVICE HANDPHONE"/>
    <m/>
    <x v="2"/>
    <m/>
    <s v="YUVI NOFERIANTO"/>
    <m/>
    <x v="4"/>
    <m/>
    <s v="HANIF"/>
    <m/>
    <s v="LCD"/>
    <m/>
    <s v="APPLE"/>
    <m/>
    <s v="7 PLUS"/>
    <m/>
    <s v="AKOR-014"/>
    <m/>
    <s v="ORAIMO CABLE TYPE-C 2A OCD-114C"/>
    <m/>
    <n v="15000"/>
    <m/>
    <n v="1"/>
    <m/>
    <n v="20000"/>
    <m/>
    <n v="20000"/>
    <m/>
    <m/>
    <m/>
    <s v="N/A"/>
  </r>
  <r>
    <m/>
    <x v="1"/>
    <m/>
    <s v="MF-FP.24704"/>
    <m/>
    <s v="MF-ST.22191"/>
    <m/>
    <d v="2026-04-25T00:00:00"/>
    <m/>
    <s v="Umum"/>
    <m/>
    <s v="C.00000"/>
    <m/>
    <s v="Pelanggan Umum"/>
    <m/>
    <s v="HANIF"/>
    <m/>
    <s v="SERVICE HANDPHONE"/>
    <m/>
    <x v="0"/>
    <m/>
    <s v="YUVI NOFERIANTO"/>
    <m/>
    <x v="4"/>
    <m/>
    <s v="HANIF"/>
    <m/>
    <s v="REPAIR"/>
    <m/>
    <s v="BELUM ADA MERK"/>
    <m/>
    <s v="N/A"/>
    <m/>
    <s v="JASA71"/>
    <m/>
    <s v="JASA REPAIR"/>
    <m/>
    <n v="0"/>
    <m/>
    <n v="1"/>
    <m/>
    <n v="35000"/>
    <m/>
    <n v="35000"/>
    <m/>
    <m/>
    <m/>
    <s v="N/A"/>
  </r>
  <r>
    <m/>
    <x v="1"/>
    <m/>
    <s v="MF-FP.24706"/>
    <m/>
    <s v="MF-ST.22021"/>
    <m/>
    <d v="2026-04-19T00:00:00"/>
    <m/>
    <s v="Umum"/>
    <m/>
    <s v="C.13016"/>
    <m/>
    <s v="FEBRI"/>
    <m/>
    <s v="HANIF"/>
    <m/>
    <s v="SERVICE HANDPHONE"/>
    <m/>
    <x v="0"/>
    <m/>
    <s v="ABDUL MUNAJAT"/>
    <m/>
    <x v="3"/>
    <m/>
    <s v="HANIF"/>
    <m/>
    <s v="HARDWARE"/>
    <m/>
    <s v="LENOVO"/>
    <m/>
    <s v="IDEAPAD 3"/>
    <m/>
    <s v="JASA71"/>
    <m/>
    <s v="JASA REPAIR"/>
    <m/>
    <n v="0"/>
    <m/>
    <n v="1"/>
    <m/>
    <n v="25000"/>
    <m/>
    <n v="25000"/>
    <m/>
    <m/>
    <m/>
    <s v="N/A"/>
  </r>
  <r>
    <m/>
    <x v="1"/>
    <m/>
    <s v="MF-FP.24708"/>
    <m/>
    <s v="MF-ST.22194"/>
    <m/>
    <d v="2026-04-25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6464"/>
    <m/>
    <s v="ANKER 322 USB-A TO USB-C CABLE (3FT BRAIDED) A81H5H11 BLACK"/>
    <m/>
    <n v="34000"/>
    <m/>
    <n v="1"/>
    <m/>
    <n v="80000"/>
    <m/>
    <n v="80000"/>
    <m/>
    <m/>
    <m/>
    <s v="N/A"/>
  </r>
  <r>
    <m/>
    <x v="1"/>
    <m/>
    <s v="MF-FP.24708"/>
    <m/>
    <s v="MF-ST.22194"/>
    <m/>
    <d v="2026-04-25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1"/>
    <m/>
    <s v="MF-FP.24709"/>
    <m/>
    <s v="MF-ST.22181"/>
    <m/>
    <d v="2026-04-25T00:00:00"/>
    <m/>
    <s v="Umum"/>
    <m/>
    <s v="C.13087"/>
    <m/>
    <s v="DANIEL"/>
    <m/>
    <s v="HANIF"/>
    <m/>
    <s v="SERVICE HANDPHONE"/>
    <m/>
    <x v="0"/>
    <m/>
    <s v="ARI MARWAN"/>
    <m/>
    <x v="0"/>
    <m/>
    <s v="HANIF"/>
    <m/>
    <s v="LCD"/>
    <m/>
    <s v="XIAOMI"/>
    <m/>
    <s v="Mi 11T"/>
    <m/>
    <s v="JASA71"/>
    <m/>
    <s v="JASA REPAIR"/>
    <m/>
    <n v="0"/>
    <m/>
    <n v="1"/>
    <m/>
    <n v="230000"/>
    <m/>
    <n v="230000"/>
    <m/>
    <m/>
    <m/>
    <s v="N/A"/>
  </r>
  <r>
    <m/>
    <x v="1"/>
    <m/>
    <s v="MF-FP.24709"/>
    <m/>
    <s v="MF-ST.22181"/>
    <m/>
    <d v="2026-04-25T00:00:00"/>
    <m/>
    <s v="Umum"/>
    <m/>
    <s v="C.13087"/>
    <m/>
    <s v="DANIEL"/>
    <m/>
    <s v="HANIF"/>
    <m/>
    <s v="SERVICE HANDPHONE"/>
    <m/>
    <x v="1"/>
    <m/>
    <s v="ARI MARWAN"/>
    <m/>
    <x v="0"/>
    <m/>
    <s v="HANIF"/>
    <m/>
    <s v="LCD"/>
    <m/>
    <s v="XIAOMI"/>
    <m/>
    <s v="Mi 11T"/>
    <m/>
    <s v="105148"/>
    <m/>
    <s v="LCD.. XIO MI 11T / 11T PRO"/>
    <m/>
    <n v="160000"/>
    <m/>
    <n v="1"/>
    <m/>
    <n v="200000"/>
    <m/>
    <n v="200000"/>
    <m/>
    <m/>
    <m/>
    <s v="N/A"/>
  </r>
  <r>
    <m/>
    <x v="1"/>
    <m/>
    <s v="MF-FP.24709"/>
    <m/>
    <s v="MF-ST.22181"/>
    <m/>
    <d v="2026-04-25T00:00:00"/>
    <m/>
    <s v="Umum"/>
    <m/>
    <s v="C.13087"/>
    <m/>
    <s v="DANIEL"/>
    <m/>
    <s v="HANIF"/>
    <m/>
    <s v="SERVICE HANDPHONE"/>
    <m/>
    <x v="2"/>
    <m/>
    <s v="ARI MARWAN"/>
    <m/>
    <x v="0"/>
    <m/>
    <s v="HANIF"/>
    <m/>
    <s v="LCD"/>
    <m/>
    <s v="XIAOMI"/>
    <m/>
    <s v="Mi 11T"/>
    <m/>
    <s v="100025"/>
    <m/>
    <s v="VIVAN HYDROGEL BASIC CRYSTAL CLEAR VSP01T"/>
    <m/>
    <n v="11151.582562"/>
    <m/>
    <n v="1"/>
    <m/>
    <n v="20000"/>
    <m/>
    <n v="20000"/>
    <m/>
    <m/>
    <m/>
    <s v="N/A"/>
  </r>
  <r>
    <m/>
    <x v="1"/>
    <m/>
    <s v="MF-FP.24710"/>
    <m/>
    <s v="MF-ST.22183"/>
    <m/>
    <d v="2026-04-25T00:00:00"/>
    <m/>
    <s v="Umum"/>
    <m/>
    <s v="C.12447"/>
    <m/>
    <s v="AMELIA"/>
    <m/>
    <s v="HANIF"/>
    <m/>
    <s v="SERVICE HANDPHONE"/>
    <m/>
    <x v="0"/>
    <m/>
    <s v="YUVI NOFERIANTO"/>
    <m/>
    <x v="4"/>
    <m/>
    <s v="HANIF"/>
    <m/>
    <s v="HARDWARE"/>
    <m/>
    <s v="XIAOMI"/>
    <m/>
    <s v="Redmi 8"/>
    <m/>
    <s v="JASA71"/>
    <m/>
    <s v="JASA REPAIR"/>
    <m/>
    <n v="0"/>
    <m/>
    <n v="1"/>
    <m/>
    <n v="180000"/>
    <m/>
    <n v="180000"/>
    <m/>
    <m/>
    <m/>
    <s v="N/A"/>
  </r>
  <r>
    <m/>
    <x v="1"/>
    <m/>
    <s v="MF-FP.24710"/>
    <m/>
    <s v="MF-ST.22183"/>
    <m/>
    <d v="2026-04-25T00:00:00"/>
    <m/>
    <s v="Umum"/>
    <m/>
    <s v="C.12447"/>
    <m/>
    <s v="AMELIA"/>
    <m/>
    <s v="HANIF"/>
    <m/>
    <s v="SERVICE HANDPHONE"/>
    <m/>
    <x v="2"/>
    <m/>
    <s v="YUVI NOFERIANTO"/>
    <m/>
    <x v="4"/>
    <m/>
    <s v="HANIF"/>
    <m/>
    <s v="HARDWARE"/>
    <m/>
    <s v="XIAOMI"/>
    <m/>
    <s v="Redmi 8"/>
    <m/>
    <s v="AKOR-014"/>
    <m/>
    <s v="ORAIMO CABLE TYPE-C 2A OCD-114C"/>
    <m/>
    <n v="15000"/>
    <m/>
    <n v="1"/>
    <m/>
    <n v="20000"/>
    <m/>
    <n v="20000"/>
    <m/>
    <m/>
    <m/>
    <s v="N/A"/>
  </r>
  <r>
    <m/>
    <x v="1"/>
    <m/>
    <s v="MF-FP.24701"/>
    <m/>
    <s v="MF-ST.22189"/>
    <m/>
    <d v="2026-04-25T00:00:00"/>
    <m/>
    <s v="Member Reguler"/>
    <m/>
    <s v="C.02838"/>
    <m/>
    <s v="Apriani"/>
    <m/>
    <s v="HANIF"/>
    <m/>
    <s v="SERVICE HANDPHONE"/>
    <m/>
    <x v="0"/>
    <m/>
    <s v="ARI MARWAN"/>
    <m/>
    <x v="0"/>
    <m/>
    <s v="HANIF"/>
    <m/>
    <s v="LCD"/>
    <m/>
    <s v="XIAOMI"/>
    <m/>
    <s v="redmi 12c"/>
    <m/>
    <s v="JASA71"/>
    <m/>
    <s v="JASA REPAIR"/>
    <m/>
    <n v="0"/>
    <m/>
    <n v="1"/>
    <m/>
    <n v="160000"/>
    <m/>
    <n v="160000"/>
    <m/>
    <s v="BAGUS SOLIHIN SALES RETAIL"/>
    <m/>
    <s v="N/A"/>
  </r>
  <r>
    <m/>
    <x v="1"/>
    <m/>
    <s v="MF-FP.24701"/>
    <m/>
    <s v="MF-ST.22189"/>
    <m/>
    <d v="2026-04-25T00:00:00"/>
    <m/>
    <s v="Member Reguler"/>
    <m/>
    <s v="C.02838"/>
    <m/>
    <s v="Apriani"/>
    <m/>
    <s v="HANIF"/>
    <m/>
    <s v="SERVICE HANDPHONE"/>
    <m/>
    <x v="1"/>
    <m/>
    <s v="ARI MARWAN"/>
    <m/>
    <x v="0"/>
    <m/>
    <s v="HANIF"/>
    <m/>
    <s v="LCD"/>
    <m/>
    <s v="XIAOMI"/>
    <m/>
    <s v="redmi 12c"/>
    <m/>
    <s v="102999"/>
    <m/>
    <s v="LCD.. XIO REDMI 12C/REDMI 10C/POCO C55/C40 B"/>
    <m/>
    <n v="142916.66666700001"/>
    <m/>
    <n v="1"/>
    <m/>
    <n v="195000"/>
    <m/>
    <n v="195000"/>
    <m/>
    <s v="BAGUS SOLIHIN SALES RETAIL"/>
    <m/>
    <s v="N/A"/>
  </r>
  <r>
    <m/>
    <x v="1"/>
    <m/>
    <s v="MF-FP.24701"/>
    <m/>
    <s v="MF-ST.22189"/>
    <m/>
    <d v="2026-04-25T00:00:00"/>
    <m/>
    <s v="Member Reguler"/>
    <m/>
    <s v="C.02838"/>
    <m/>
    <s v="Apriani"/>
    <m/>
    <s v="HANIF"/>
    <m/>
    <s v="SERVICE HANDPHONE"/>
    <m/>
    <x v="2"/>
    <m/>
    <s v="ARI MARWAN"/>
    <m/>
    <x v="0"/>
    <m/>
    <s v="HANIF"/>
    <m/>
    <s v="LCD"/>
    <m/>
    <s v="XIAOMI"/>
    <m/>
    <s v="redmi 12c"/>
    <m/>
    <s v="AKOR-014"/>
    <m/>
    <s v="ORAIMO CABLE TYPE-C 2A OCD-114C"/>
    <m/>
    <n v="15000"/>
    <m/>
    <n v="1"/>
    <m/>
    <n v="20000"/>
    <m/>
    <n v="20000"/>
    <m/>
    <s v="BAGUS SOLIHIN SALES RETAIL"/>
    <m/>
    <s v="N/A"/>
  </r>
  <r>
    <m/>
    <x v="1"/>
    <m/>
    <s v="MF-FP.24701"/>
    <m/>
    <s v="MF-ST.22189"/>
    <m/>
    <d v="2026-04-25T00:00:00"/>
    <m/>
    <s v="Member Reguler"/>
    <m/>
    <s v="C.02838"/>
    <m/>
    <s v="Apriani"/>
    <m/>
    <s v="HANIF"/>
    <m/>
    <s v="SERVICE HANDPHONE"/>
    <m/>
    <x v="2"/>
    <m/>
    <s v="ARI MARWAN"/>
    <m/>
    <x v="0"/>
    <m/>
    <s v="HANIF"/>
    <m/>
    <s v="LCD"/>
    <m/>
    <s v="XIAOMI"/>
    <m/>
    <s v="redmi 12c"/>
    <m/>
    <s v="100025"/>
    <m/>
    <s v="VIVAN HYDROGEL BASIC CRYSTAL CLEAR VSP01T"/>
    <m/>
    <n v="11151.582562"/>
    <m/>
    <n v="1"/>
    <m/>
    <n v="75000"/>
    <m/>
    <n v="75000"/>
    <m/>
    <s v="BAGUS SOLIHIN SALES RETAIL"/>
    <m/>
    <s v="N/A"/>
  </r>
  <r>
    <m/>
    <x v="1"/>
    <m/>
    <s v="MF-FP.24688"/>
    <m/>
    <s v="MF-ST.22178"/>
    <m/>
    <d v="2026-04-25T00:00:00"/>
    <m/>
    <s v="Umum"/>
    <m/>
    <s v="C.11063"/>
    <m/>
    <s v="LUKMAN"/>
    <m/>
    <s v="WAHYU PRATAMA"/>
    <m/>
    <s v="SERVICE HANDPHONE"/>
    <m/>
    <x v="2"/>
    <m/>
    <s v="EKO RISDIYANTORO JATIMULYA"/>
    <m/>
    <x v="2"/>
    <m/>
    <s v="WAHYU PRATAMA"/>
    <m/>
    <s v="LCD"/>
    <m/>
    <s v="SAMSUNG"/>
    <m/>
    <s v="A02S"/>
    <m/>
    <s v="AKOR-014"/>
    <m/>
    <s v="ORAIMO CABLE TYPE-C 2A OCD-114C"/>
    <m/>
    <n v="15000"/>
    <m/>
    <n v="1"/>
    <m/>
    <n v="15000"/>
    <m/>
    <n v="15000"/>
    <m/>
    <m/>
    <m/>
    <s v="N/A"/>
  </r>
  <r>
    <m/>
    <x v="1"/>
    <m/>
    <s v="MF-FP.24688"/>
    <m/>
    <s v="MF-ST.22178"/>
    <m/>
    <d v="2026-04-25T00:00:00"/>
    <m/>
    <s v="Umum"/>
    <m/>
    <s v="C.11063"/>
    <m/>
    <s v="LUKMAN"/>
    <m/>
    <s v="WAHYU PRATAMA"/>
    <m/>
    <s v="SERVICE HANDPHONE"/>
    <m/>
    <x v="0"/>
    <m/>
    <s v="EKO RISDIYANTORO JATIMULYA"/>
    <m/>
    <x v="2"/>
    <m/>
    <s v="WAHYU PRATAMA"/>
    <m/>
    <s v="LCD"/>
    <m/>
    <s v="SAMSUNG"/>
    <m/>
    <s v="A02S"/>
    <m/>
    <s v="JASA71"/>
    <m/>
    <s v="JASA REPAIR"/>
    <m/>
    <n v="0"/>
    <m/>
    <n v="1"/>
    <m/>
    <n v="215000"/>
    <m/>
    <n v="215000"/>
    <m/>
    <m/>
    <m/>
    <s v="N/A"/>
  </r>
  <r>
    <m/>
    <x v="1"/>
    <m/>
    <s v="MF-FP.24688"/>
    <m/>
    <s v="MF-ST.22178"/>
    <m/>
    <d v="2026-04-25T00:00:00"/>
    <m/>
    <s v="Umum"/>
    <m/>
    <s v="C.11063"/>
    <m/>
    <s v="LUKMAN"/>
    <m/>
    <s v="WAHYU PRATAMA"/>
    <m/>
    <s v="SERVICE HANDPHONE"/>
    <m/>
    <x v="1"/>
    <m/>
    <s v="EKO RISDIYANTORO JATIMULYA"/>
    <m/>
    <x v="2"/>
    <m/>
    <s v="WAHYU PRATAMA"/>
    <m/>
    <s v="LCD"/>
    <m/>
    <s v="SAMSUNG"/>
    <m/>
    <s v="A02S"/>
    <m/>
    <s v="100272"/>
    <m/>
    <s v="LCD.. SAM A02s/A03/A03s/A04E B"/>
    <m/>
    <n v="136815.38720100001"/>
    <m/>
    <n v="1"/>
    <m/>
    <n v="150000"/>
    <m/>
    <n v="150000"/>
    <m/>
    <m/>
    <m/>
    <s v="N/A"/>
  </r>
  <r>
    <m/>
    <x v="1"/>
    <m/>
    <s v="MF-FP.24695"/>
    <m/>
    <s v="MF-ST.22163"/>
    <m/>
    <d v="2026-04-24T00:00:00"/>
    <m/>
    <s v="Umum"/>
    <m/>
    <s v="C.01792"/>
    <m/>
    <s v="BP ICAN"/>
    <m/>
    <s v="WAHYU PRATAMA"/>
    <m/>
    <s v="SERVICE HANDPHONE"/>
    <m/>
    <x v="0"/>
    <m/>
    <s v="ARI MARWAN"/>
    <m/>
    <x v="0"/>
    <m/>
    <s v="HANIF"/>
    <m/>
    <s v="REPAIR"/>
    <m/>
    <s v="XIAOMI"/>
    <m/>
    <s v="POCO M3"/>
    <m/>
    <s v="JASA71"/>
    <m/>
    <s v="JASA REPAIR"/>
    <m/>
    <n v="0"/>
    <m/>
    <n v="1"/>
    <m/>
    <n v="150000"/>
    <m/>
    <n v="150000"/>
    <m/>
    <m/>
    <m/>
    <s v="N/A"/>
  </r>
  <r>
    <m/>
    <x v="1"/>
    <m/>
    <s v="MF-FP.24692"/>
    <m/>
    <s v="MF-ST.22165"/>
    <m/>
    <d v="2026-04-24T00:00:00"/>
    <m/>
    <s v="Member Reguler"/>
    <m/>
    <s v="C.07593"/>
    <m/>
    <s v="DINA"/>
    <m/>
    <s v="WAHYU PRATAMA"/>
    <m/>
    <s v="SERVICE HANDPHONE"/>
    <m/>
    <x v="0"/>
    <m/>
    <s v="YUVI NOFERIANTO"/>
    <m/>
    <x v="4"/>
    <m/>
    <s v="HANIF"/>
    <m/>
    <s v="LCD"/>
    <m/>
    <s v="SAMSUNG"/>
    <m/>
    <s v="M20"/>
    <m/>
    <s v="JASA71"/>
    <m/>
    <s v="JASA REPAIR"/>
    <m/>
    <n v="0"/>
    <m/>
    <n v="1"/>
    <m/>
    <n v="200000"/>
    <m/>
    <n v="200000"/>
    <m/>
    <s v="Achmad Indrawanto"/>
    <m/>
    <s v="N/A"/>
  </r>
  <r>
    <m/>
    <x v="1"/>
    <m/>
    <s v="MF-FP.24689"/>
    <m/>
    <s v="MF-ST.22031"/>
    <m/>
    <d v="2026-04-19T00:00:00"/>
    <m/>
    <s v="Member Reguler"/>
    <m/>
    <s v="C.10473"/>
    <m/>
    <s v="IKA"/>
    <m/>
    <s v="Achmad Indrawanto"/>
    <m/>
    <s v="SERVICE HANDPHONE"/>
    <m/>
    <x v="0"/>
    <m/>
    <s v="ARI MARWAN"/>
    <m/>
    <x v="0"/>
    <m/>
    <s v="HANIF"/>
    <m/>
    <s v="REPAIR"/>
    <m/>
    <s v="SAMSUNG"/>
    <m/>
    <s v="Samsung A10s"/>
    <m/>
    <s v="JASA71"/>
    <m/>
    <s v="JASA REPAIR"/>
    <m/>
    <n v="0"/>
    <m/>
    <n v="1"/>
    <m/>
    <n v="110000"/>
    <m/>
    <n v="110000"/>
    <m/>
    <s v="Muhammad Yusuf Rizha"/>
    <m/>
    <s v="N/A"/>
  </r>
  <r>
    <m/>
    <x v="1"/>
    <m/>
    <s v="MF-FP.24689"/>
    <m/>
    <s v="MF-ST.22031"/>
    <m/>
    <d v="2026-04-19T00:00:00"/>
    <m/>
    <s v="Member Reguler"/>
    <m/>
    <s v="C.10473"/>
    <m/>
    <s v="IKA"/>
    <m/>
    <s v="Achmad Indrawanto"/>
    <m/>
    <s v="SERVICE HANDPHONE"/>
    <m/>
    <x v="2"/>
    <m/>
    <s v="ARI MARWAN"/>
    <m/>
    <x v="0"/>
    <m/>
    <s v="HANIF"/>
    <m/>
    <s v="REPAIR"/>
    <m/>
    <s v="SAMSUNG"/>
    <m/>
    <s v="Samsung A10s"/>
    <m/>
    <s v="AKOR-014"/>
    <m/>
    <s v="ORAIMO CABLE TYPE-C 2A OCD-114C"/>
    <m/>
    <n v="15000"/>
    <m/>
    <n v="1"/>
    <m/>
    <n v="20000"/>
    <m/>
    <n v="20000"/>
    <m/>
    <s v="Muhammad Yusuf Rizha"/>
    <m/>
    <s v="N/A"/>
  </r>
  <r>
    <m/>
    <x v="1"/>
    <m/>
    <s v="MF-FP.24689"/>
    <m/>
    <s v="MF-ST.22031"/>
    <m/>
    <d v="2026-04-19T00:00:00"/>
    <m/>
    <s v="Member Reguler"/>
    <m/>
    <s v="C.10473"/>
    <m/>
    <s v="IKA"/>
    <m/>
    <s v="Achmad Indrawanto"/>
    <m/>
    <s v="SERVICE HANDPHONE"/>
    <m/>
    <x v="2"/>
    <m/>
    <s v="ARI MARWAN"/>
    <m/>
    <x v="0"/>
    <m/>
    <s v="HANIF"/>
    <m/>
    <s v="REPAIR"/>
    <m/>
    <s v="SAMSUNG"/>
    <m/>
    <s v="Samsung A10s"/>
    <m/>
    <s v="107218"/>
    <m/>
    <s v="VIVAN DATA CABLE VBUSM COLOURFULL TOPLES"/>
    <m/>
    <n v="12300"/>
    <m/>
    <n v="1"/>
    <m/>
    <n v="20000"/>
    <m/>
    <n v="20000"/>
    <m/>
    <s v="Muhammad Yusuf Rizha"/>
    <m/>
    <s v="N/A"/>
  </r>
  <r>
    <m/>
    <x v="1"/>
    <m/>
    <s v="MF-FP.24689"/>
    <m/>
    <s v="MF-ST.22031"/>
    <m/>
    <d v="2026-04-19T00:00:00"/>
    <m/>
    <s v="Member Reguler"/>
    <m/>
    <s v="C.10473"/>
    <m/>
    <s v="IKA"/>
    <m/>
    <s v="Achmad Indrawanto"/>
    <m/>
    <s v="SERVICE HANDPHONE"/>
    <m/>
    <x v="1"/>
    <m/>
    <s v="ARI MARWAN"/>
    <m/>
    <x v="0"/>
    <m/>
    <s v="HANIF"/>
    <m/>
    <s v="REPAIR"/>
    <m/>
    <s v="SAMSUNG"/>
    <m/>
    <s v="Samsung A10s"/>
    <m/>
    <s v="100316"/>
    <m/>
    <s v="FLCRG SAM A10s A107 A107F"/>
    <m/>
    <n v="11000"/>
    <m/>
    <n v="1"/>
    <m/>
    <n v="20000"/>
    <m/>
    <n v="20000"/>
    <m/>
    <s v="Muhammad Yusuf Rizha"/>
    <m/>
    <s v="N/A"/>
  </r>
  <r>
    <m/>
    <x v="1"/>
    <m/>
    <s v="MF-FP.24692"/>
    <m/>
    <s v="MF-ST.22165"/>
    <m/>
    <d v="2026-04-24T00:00:00"/>
    <m/>
    <s v="Member Reguler"/>
    <m/>
    <s v="C.07593"/>
    <m/>
    <s v="DINA"/>
    <m/>
    <s v="WAHYU PRATAMA"/>
    <m/>
    <s v="SERVICE HANDPHONE"/>
    <m/>
    <x v="1"/>
    <m/>
    <s v="YUVI NOFERIANTO"/>
    <m/>
    <x v="4"/>
    <m/>
    <s v="HANIF"/>
    <m/>
    <s v="LCD"/>
    <m/>
    <s v="SAMSUNG"/>
    <m/>
    <s v="M20"/>
    <m/>
    <s v="100115"/>
    <m/>
    <s v="LCD.. SAM M20 M205 M205F B FST"/>
    <m/>
    <n v="130500"/>
    <m/>
    <n v="1"/>
    <m/>
    <n v="180000"/>
    <m/>
    <n v="180000"/>
    <m/>
    <s v="Achmad Indrawanto"/>
    <m/>
    <s v="N/A"/>
  </r>
  <r>
    <m/>
    <x v="1"/>
    <m/>
    <s v="MF-FP.24692"/>
    <m/>
    <s v="MF-ST.22165"/>
    <m/>
    <d v="2026-04-24T00:00:00"/>
    <m/>
    <s v="Member Reguler"/>
    <m/>
    <s v="C.07593"/>
    <m/>
    <s v="DINA"/>
    <m/>
    <s v="WAHYU PRATAMA"/>
    <m/>
    <s v="SERVICE HANDPHONE"/>
    <m/>
    <x v="2"/>
    <m/>
    <s v="YUVI NOFERIANTO"/>
    <m/>
    <x v="4"/>
    <m/>
    <s v="HANIF"/>
    <m/>
    <s v="LCD"/>
    <m/>
    <s v="SAMSUNG"/>
    <m/>
    <s v="M20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1"/>
    <m/>
    <s v="MF-FP.24690"/>
    <m/>
    <s v="MF-ST.22179"/>
    <m/>
    <d v="2026-04-25T00:00:00"/>
    <m/>
    <s v="Umum"/>
    <m/>
    <s v="C.09477"/>
    <m/>
    <s v="WANTRA B"/>
    <m/>
    <s v="HANIF"/>
    <m/>
    <s v="SERVICE HANDPHONE"/>
    <m/>
    <x v="2"/>
    <m/>
    <s v="EKO RISDIYANTORO JATIMULYA"/>
    <m/>
    <x v="2"/>
    <m/>
    <s v="WAHYU PRATAMA"/>
    <m/>
    <s v="REPAIR"/>
    <m/>
    <s v="SAMSUNG"/>
    <m/>
    <s v="TAB S5E"/>
    <m/>
    <s v="AKOR-014"/>
    <m/>
    <s v="ORAIMO CABLE TYPE-C 2A OCD-114C"/>
    <m/>
    <n v="15000"/>
    <m/>
    <n v="1"/>
    <m/>
    <n v="20000"/>
    <m/>
    <n v="20000"/>
    <m/>
    <m/>
    <m/>
    <s v="N/A"/>
  </r>
  <r>
    <m/>
    <x v="1"/>
    <m/>
    <s v="MF-FP.24690"/>
    <m/>
    <s v="MF-ST.22179"/>
    <m/>
    <d v="2026-04-25T00:00:00"/>
    <m/>
    <s v="Umum"/>
    <m/>
    <s v="C.09477"/>
    <m/>
    <s v="WANTRA B"/>
    <m/>
    <s v="HANIF"/>
    <m/>
    <s v="SERVICE HANDPHONE"/>
    <m/>
    <x v="2"/>
    <m/>
    <s v="EKO RISDIYANTORO JATIMULYA"/>
    <m/>
    <x v="2"/>
    <m/>
    <s v="WAHYU PRATAMA"/>
    <m/>
    <s v="REPAIR"/>
    <m/>
    <s v="SAMSUNG"/>
    <m/>
    <s v="TAB S5E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1"/>
    <m/>
    <s v="MF-FP.24690"/>
    <m/>
    <s v="MF-ST.22179"/>
    <m/>
    <d v="2026-04-25T00:00:00"/>
    <m/>
    <s v="Umum"/>
    <m/>
    <s v="C.09477"/>
    <m/>
    <s v="WANTRA B"/>
    <m/>
    <s v="HANIF"/>
    <m/>
    <s v="SERVICE HANDPHONE"/>
    <m/>
    <x v="0"/>
    <m/>
    <s v="EKO RISDIYANTORO JATIMULYA"/>
    <m/>
    <x v="2"/>
    <m/>
    <s v="WAHYU PRATAMA"/>
    <m/>
    <s v="REPAIR"/>
    <m/>
    <s v="SAMSUNG"/>
    <m/>
    <s v="TAB S5E"/>
    <m/>
    <s v="JASA71"/>
    <m/>
    <s v="JASA REPAIR"/>
    <m/>
    <n v="0"/>
    <m/>
    <n v="1"/>
    <m/>
    <n v="130000"/>
    <m/>
    <n v="130000"/>
    <m/>
    <m/>
    <m/>
    <s v="N/A"/>
  </r>
  <r>
    <m/>
    <x v="1"/>
    <m/>
    <s v="MF-FP.24694"/>
    <m/>
    <s v="MF-ST.22184"/>
    <m/>
    <d v="2026-04-25T00:00:00"/>
    <m/>
    <s v="Member Reguler"/>
    <m/>
    <s v="C.12761"/>
    <m/>
    <s v="MARIATI"/>
    <m/>
    <s v="HANIF"/>
    <m/>
    <s v="SERVICE HANDPHONE"/>
    <m/>
    <x v="0"/>
    <m/>
    <s v="ARI MARWAN"/>
    <m/>
    <x v="0"/>
    <m/>
    <s v="HANIF"/>
    <m/>
    <s v="LCD"/>
    <m/>
    <s v="APPLE"/>
    <m/>
    <s v="IPHONE 11"/>
    <m/>
    <s v="JASA71"/>
    <m/>
    <s v="JASA REPAIR"/>
    <m/>
    <n v="0"/>
    <m/>
    <n v="1"/>
    <m/>
    <n v="200000"/>
    <m/>
    <n v="200000"/>
    <m/>
    <s v="Achmad Indrawanto"/>
    <m/>
    <s v="N/A"/>
  </r>
  <r>
    <m/>
    <x v="1"/>
    <m/>
    <s v="MF-FP.24691"/>
    <m/>
    <s v="MF-ST.22182"/>
    <m/>
    <d v="2026-04-25T00:00:00"/>
    <m/>
    <s v="Member Reguler"/>
    <m/>
    <s v="C.02770"/>
    <m/>
    <s v="IQBAL"/>
    <m/>
    <s v="HANIF"/>
    <m/>
    <s v="PENJUALAN SPAREPART"/>
    <m/>
    <x v="1"/>
    <m/>
    <s v="N/A"/>
    <m/>
    <x v="5"/>
    <m/>
    <s v="HANIF"/>
    <m/>
    <s v="KEYBOARD"/>
    <m/>
    <s v="BELUM ADA MERK"/>
    <m/>
    <s v="N/A"/>
    <m/>
    <s v="102030"/>
    <m/>
    <s v="KYBRD ASS X455 X455L A455 A455L F451C K450J K450JB"/>
    <m/>
    <n v="73783.783783999999"/>
    <m/>
    <n v="1"/>
    <m/>
    <n v="75000"/>
    <m/>
    <n v="75000"/>
    <m/>
    <s v="ANWAR RHAMDANI SALES"/>
    <m/>
    <s v="N/A"/>
  </r>
  <r>
    <m/>
    <x v="1"/>
    <m/>
    <s v="MF-FP.24694"/>
    <m/>
    <s v="MF-ST.22184"/>
    <m/>
    <d v="2026-04-25T00:00:00"/>
    <m/>
    <s v="Member Reguler"/>
    <m/>
    <s v="C.12761"/>
    <m/>
    <s v="MARIATI"/>
    <m/>
    <s v="HANIF"/>
    <m/>
    <s v="SERVICE HANDPHONE"/>
    <m/>
    <x v="1"/>
    <m/>
    <s v="ARI MARWAN"/>
    <m/>
    <x v="0"/>
    <m/>
    <s v="HANIF"/>
    <m/>
    <s v="LCD"/>
    <m/>
    <s v="APPLE"/>
    <m/>
    <s v="IPHONE 11"/>
    <m/>
    <s v="100541"/>
    <m/>
    <s v="LCD.. IPH 11 FST B"/>
    <m/>
    <n v="210200"/>
    <m/>
    <n v="1"/>
    <m/>
    <n v="275000"/>
    <m/>
    <n v="275000"/>
    <m/>
    <s v="Achmad Indrawanto"/>
    <m/>
    <s v="N/A"/>
  </r>
  <r>
    <m/>
    <x v="1"/>
    <m/>
    <s v="MF-FP.24693"/>
    <m/>
    <s v="MF-ST.22097"/>
    <m/>
    <d v="2026-04-22T00:00:00"/>
    <m/>
    <s v="Umum"/>
    <m/>
    <s v="C.11624"/>
    <m/>
    <s v="HENI"/>
    <m/>
    <s v="WAHYU PRATAMA"/>
    <m/>
    <s v="SERVICE HANDPHONE"/>
    <m/>
    <x v="0"/>
    <m/>
    <s v="ARI MARWAN"/>
    <m/>
    <x v="0"/>
    <m/>
    <s v="HANIF"/>
    <m/>
    <s v="MATI TOTAL"/>
    <m/>
    <s v="VIVO"/>
    <m/>
    <s v="Y29"/>
    <m/>
    <s v="JASA71"/>
    <m/>
    <s v="JASA REPAIR"/>
    <m/>
    <n v="0"/>
    <m/>
    <n v="1"/>
    <m/>
    <n v="180000"/>
    <m/>
    <n v="180000"/>
    <m/>
    <m/>
    <m/>
    <s v="N/A"/>
  </r>
  <r>
    <m/>
    <x v="1"/>
    <m/>
    <s v="MF-FP.24693"/>
    <m/>
    <s v="MF-ST.22097"/>
    <m/>
    <d v="2026-04-22T00:00:00"/>
    <m/>
    <s v="Umum"/>
    <m/>
    <s v="C.11624"/>
    <m/>
    <s v="HENI"/>
    <m/>
    <s v="WAHYU PRATAMA"/>
    <m/>
    <s v="SERVICE HANDPHONE"/>
    <m/>
    <x v="2"/>
    <m/>
    <s v="ARI MARWAN"/>
    <m/>
    <x v="0"/>
    <m/>
    <s v="HANIF"/>
    <m/>
    <s v="MATI TOTAL"/>
    <m/>
    <s v="VIVO"/>
    <m/>
    <s v="Y29"/>
    <m/>
    <s v="AKOR-014"/>
    <m/>
    <s v="ORAIMO CABLE TYPE-C 2A OCD-114C"/>
    <m/>
    <n v="15000"/>
    <m/>
    <n v="1"/>
    <m/>
    <n v="20000"/>
    <m/>
    <n v="20000"/>
    <m/>
    <m/>
    <m/>
    <s v="N/A"/>
  </r>
  <r>
    <m/>
    <x v="1"/>
    <m/>
    <s v="MF-FP.24697"/>
    <m/>
    <s v="MF-ST.22173"/>
    <m/>
    <d v="2026-04-25T00:00:00"/>
    <m/>
    <s v="Umum"/>
    <m/>
    <s v="C.13083"/>
    <m/>
    <s v="HAERUL"/>
    <m/>
    <s v="WAHYU PRATAMA"/>
    <m/>
    <s v="SERVICE HANDPHONE"/>
    <m/>
    <x v="0"/>
    <m/>
    <s v="EKO RISDIYANTORO JATIMULYA"/>
    <m/>
    <x v="2"/>
    <m/>
    <s v="HANIF"/>
    <m/>
    <s v="LCD"/>
    <m/>
    <s v="REALME"/>
    <m/>
    <s v="5 PRO"/>
    <m/>
    <s v="JASA71"/>
    <m/>
    <s v="JASA REPAIR"/>
    <m/>
    <n v="0"/>
    <m/>
    <n v="1"/>
    <m/>
    <n v="200000"/>
    <m/>
    <n v="200000"/>
    <m/>
    <m/>
    <m/>
    <s v="N/A"/>
  </r>
  <r>
    <m/>
    <x v="1"/>
    <m/>
    <s v="MF-FP.24697"/>
    <m/>
    <s v="MF-ST.22173"/>
    <m/>
    <d v="2026-04-25T00:00:00"/>
    <m/>
    <s v="Umum"/>
    <m/>
    <s v="C.13083"/>
    <m/>
    <s v="HAERUL"/>
    <m/>
    <s v="WAHYU PRATAMA"/>
    <m/>
    <s v="SERVICE HANDPHONE"/>
    <m/>
    <x v="1"/>
    <m/>
    <s v="EKO RISDIYANTORO JATIMULYA"/>
    <m/>
    <x v="2"/>
    <m/>
    <s v="HANIF"/>
    <m/>
    <s v="LCD"/>
    <m/>
    <s v="REALME"/>
    <m/>
    <s v="5 PRO"/>
    <m/>
    <s v="100117"/>
    <m/>
    <s v="LCD.. RLM 5 PRO B"/>
    <m/>
    <n v="117500"/>
    <m/>
    <n v="1"/>
    <m/>
    <n v="180000"/>
    <m/>
    <n v="180000"/>
    <m/>
    <m/>
    <m/>
    <s v="N/A"/>
  </r>
  <r>
    <m/>
    <x v="1"/>
    <m/>
    <s v="MF-FP.24697"/>
    <m/>
    <s v="MF-ST.22173"/>
    <m/>
    <d v="2026-04-25T00:00:00"/>
    <m/>
    <s v="Umum"/>
    <m/>
    <s v="C.13083"/>
    <m/>
    <s v="HAERUL"/>
    <m/>
    <s v="WAHYU PRATAMA"/>
    <m/>
    <s v="SERVICE HANDPHONE"/>
    <m/>
    <x v="2"/>
    <m/>
    <s v="EKO RISDIYANTORO JATIMULYA"/>
    <m/>
    <x v="2"/>
    <m/>
    <s v="HANIF"/>
    <m/>
    <s v="LCD"/>
    <m/>
    <s v="REALME"/>
    <m/>
    <s v="5 PRO"/>
    <m/>
    <s v="AKOR-014"/>
    <m/>
    <s v="ORAIMO CABLE TYPE-C 2A OCD-114C"/>
    <m/>
    <n v="15000"/>
    <m/>
    <n v="1"/>
    <m/>
    <n v="20000"/>
    <m/>
    <n v="20000"/>
    <m/>
    <m/>
    <m/>
    <s v="N/A"/>
  </r>
  <r>
    <m/>
    <x v="1"/>
    <m/>
    <s v="MF-FP.24694"/>
    <m/>
    <s v="MF-ST.22184"/>
    <m/>
    <d v="2026-04-25T00:00:00"/>
    <m/>
    <s v="Member Reguler"/>
    <m/>
    <s v="C.12761"/>
    <m/>
    <s v="MARIATI"/>
    <m/>
    <s v="HANIF"/>
    <m/>
    <s v="SERVICE HANDPHONE"/>
    <m/>
    <x v="2"/>
    <m/>
    <s v="ARI MARWAN"/>
    <m/>
    <x v="0"/>
    <m/>
    <s v="HANIF"/>
    <m/>
    <s v="LCD"/>
    <m/>
    <s v="APPLE"/>
    <m/>
    <s v="IPHONE 11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"/>
    <m/>
    <s v="MF-FP.24695"/>
    <m/>
    <s v="MF-ST.22163"/>
    <m/>
    <d v="2026-04-24T00:00:00"/>
    <m/>
    <s v="Umum"/>
    <m/>
    <s v="C.01792"/>
    <m/>
    <s v="BP ICAN"/>
    <m/>
    <s v="WAHYU PRATAMA"/>
    <m/>
    <s v="SERVICE HANDPHONE"/>
    <m/>
    <x v="1"/>
    <m/>
    <s v="ARI MARWAN"/>
    <m/>
    <x v="0"/>
    <m/>
    <s v="HANIF"/>
    <m/>
    <s v="REPAIR"/>
    <m/>
    <s v="XIAOMI"/>
    <m/>
    <s v="POCO M3"/>
    <m/>
    <s v="101403"/>
    <m/>
    <s v="BATER XIO REDMI 9T/POCO M3 BN62"/>
    <m/>
    <n v="107626.592127"/>
    <m/>
    <n v="1"/>
    <m/>
    <n v="130000"/>
    <m/>
    <n v="130000"/>
    <m/>
    <m/>
    <m/>
    <s v="N/A"/>
  </r>
  <r>
    <m/>
    <x v="1"/>
    <m/>
    <s v="MF-FP.24695"/>
    <m/>
    <s v="MF-ST.22163"/>
    <m/>
    <d v="2026-04-24T00:00:00"/>
    <m/>
    <s v="Umum"/>
    <m/>
    <s v="C.01792"/>
    <m/>
    <s v="BP ICAN"/>
    <m/>
    <s v="WAHYU PRATAMA"/>
    <m/>
    <s v="SERVICE HANDPHONE"/>
    <m/>
    <x v="2"/>
    <m/>
    <s v="ARI MARWAN"/>
    <m/>
    <x v="0"/>
    <m/>
    <s v="HANIF"/>
    <m/>
    <s v="REPAIR"/>
    <m/>
    <s v="XIAOMI"/>
    <m/>
    <s v="POCO M3"/>
    <m/>
    <s v="AKOR-014"/>
    <m/>
    <s v="ORAIMO CABLE TYPE-C 2A OCD-114C"/>
    <m/>
    <n v="15000"/>
    <m/>
    <n v="1"/>
    <m/>
    <n v="20000"/>
    <m/>
    <n v="20000"/>
    <m/>
    <m/>
    <m/>
    <s v="N/A"/>
  </r>
  <r>
    <m/>
    <x v="1"/>
    <m/>
    <s v="MF-FP.24696"/>
    <m/>
    <s v="MF-ST.21993"/>
    <m/>
    <d v="2026-04-18T00:00:00"/>
    <m/>
    <s v="Umum"/>
    <m/>
    <s v="C.13003"/>
    <m/>
    <s v="RICHARD"/>
    <m/>
    <s v="HANIF"/>
    <m/>
    <s v="SERVICE LAPTOP"/>
    <m/>
    <x v="0"/>
    <m/>
    <s v="ARIFIN SANTOSO JATIMULYA"/>
    <m/>
    <x v="6"/>
    <m/>
    <s v="HANIF"/>
    <m/>
    <s v="KEYBOARD"/>
    <m/>
    <s v="ASUS"/>
    <m/>
    <s v="Asus x441"/>
    <m/>
    <s v="JASA71"/>
    <m/>
    <s v="JASA REPAIR"/>
    <m/>
    <n v="0"/>
    <m/>
    <n v="1"/>
    <m/>
    <n v="280000"/>
    <m/>
    <n v="280000"/>
    <m/>
    <m/>
    <m/>
    <s v="N/A"/>
  </r>
  <r>
    <m/>
    <x v="1"/>
    <m/>
    <s v="MF-FP.24696"/>
    <m/>
    <s v="MF-ST.21993"/>
    <m/>
    <d v="2026-04-18T00:00:00"/>
    <m/>
    <s v="Umum"/>
    <m/>
    <s v="C.13003"/>
    <m/>
    <s v="RICHARD"/>
    <m/>
    <s v="HANIF"/>
    <m/>
    <s v="SERVICE LAPTOP"/>
    <m/>
    <x v="1"/>
    <m/>
    <s v="ARIFIN SANTOSO JATIMULYA"/>
    <m/>
    <x v="6"/>
    <m/>
    <s v="HANIF"/>
    <m/>
    <s v="KEYBOARD"/>
    <m/>
    <s v="ASUS"/>
    <m/>
    <s v="Asus x441"/>
    <m/>
    <s v="106029"/>
    <m/>
    <s v="KYBRD LPT ASS X441 KARSTENS"/>
    <m/>
    <n v="101425.847458"/>
    <m/>
    <n v="1"/>
    <m/>
    <n v="150000"/>
    <m/>
    <n v="150000"/>
    <m/>
    <m/>
    <m/>
    <s v="N/A"/>
  </r>
  <r>
    <m/>
    <x v="1"/>
    <m/>
    <s v="MF-FP.24696"/>
    <m/>
    <s v="MF-ST.21993"/>
    <m/>
    <d v="2026-04-18T00:00:00"/>
    <m/>
    <s v="Umum"/>
    <m/>
    <s v="C.13003"/>
    <m/>
    <s v="RICHARD"/>
    <m/>
    <s v="HANIF"/>
    <m/>
    <s v="SERVICE LAPTOP"/>
    <m/>
    <x v="2"/>
    <m/>
    <s v="ARIFIN SANTOSO JATIMULYA"/>
    <m/>
    <x v="6"/>
    <m/>
    <s v="HANIF"/>
    <m/>
    <s v="KEYBOARD"/>
    <m/>
    <s v="ASUS"/>
    <m/>
    <s v="Asus x441"/>
    <m/>
    <s v="AKOR-014"/>
    <m/>
    <s v="ORAIMO CABLE TYPE-C 2A OCD-114C"/>
    <m/>
    <n v="15000"/>
    <m/>
    <n v="1"/>
    <m/>
    <n v="20000"/>
    <m/>
    <n v="20000"/>
    <m/>
    <m/>
    <m/>
    <s v="N/A"/>
  </r>
  <r>
    <m/>
    <x v="1"/>
    <m/>
    <s v="MF-FP.24698"/>
    <m/>
    <s v="MF-ST.22174"/>
    <m/>
    <d v="2026-04-25T00:00:00"/>
    <m/>
    <s v="Umum"/>
    <m/>
    <s v="C.13083"/>
    <m/>
    <s v="HAERUL"/>
    <m/>
    <s v="WAHYU PRATAMA"/>
    <m/>
    <s v="SERVICE HANDPHONE"/>
    <m/>
    <x v="0"/>
    <m/>
    <s v="EKO RISDIYANTORO JATIMULYA"/>
    <m/>
    <x v="2"/>
    <m/>
    <s v="HANIF"/>
    <m/>
    <s v="LCD"/>
    <m/>
    <s v="VIVO"/>
    <m/>
    <s v="Y21"/>
    <m/>
    <s v="JASA71"/>
    <m/>
    <s v="JASA REPAIR"/>
    <m/>
    <n v="0"/>
    <m/>
    <n v="1"/>
    <m/>
    <n v="200000"/>
    <m/>
    <n v="200000"/>
    <m/>
    <m/>
    <m/>
    <s v="N/A"/>
  </r>
  <r>
    <m/>
    <x v="1"/>
    <m/>
    <s v="MF-FP.24698"/>
    <m/>
    <s v="MF-ST.22174"/>
    <m/>
    <d v="2026-04-25T00:00:00"/>
    <m/>
    <s v="Umum"/>
    <m/>
    <s v="C.13083"/>
    <m/>
    <s v="HAERUL"/>
    <m/>
    <s v="WAHYU PRATAMA"/>
    <m/>
    <s v="SERVICE HANDPHONE"/>
    <m/>
    <x v="1"/>
    <m/>
    <s v="EKO RISDIYANTORO JATIMULYA"/>
    <m/>
    <x v="2"/>
    <m/>
    <s v="HANIF"/>
    <m/>
    <s v="LCD"/>
    <m/>
    <s v="VIVO"/>
    <m/>
    <s v="Y21"/>
    <m/>
    <s v="100172"/>
    <m/>
    <s v="LCD.. VIV Y21/Y21s/Y21a/Y16/Y02s B"/>
    <m/>
    <n v="122500"/>
    <m/>
    <n v="1"/>
    <m/>
    <n v="180000"/>
    <m/>
    <n v="180000"/>
    <m/>
    <m/>
    <m/>
    <s v="N/A"/>
  </r>
  <r>
    <m/>
    <x v="1"/>
    <m/>
    <s v="MF-FP.24698"/>
    <m/>
    <s v="MF-ST.22174"/>
    <m/>
    <d v="2026-04-25T00:00:00"/>
    <m/>
    <s v="Umum"/>
    <m/>
    <s v="C.13083"/>
    <m/>
    <s v="HAERUL"/>
    <m/>
    <s v="WAHYU PRATAMA"/>
    <m/>
    <s v="SERVICE HANDPHONE"/>
    <m/>
    <x v="2"/>
    <m/>
    <s v="EKO RISDIYANTORO JATIMULYA"/>
    <m/>
    <x v="2"/>
    <m/>
    <s v="HANIF"/>
    <m/>
    <s v="LCD"/>
    <m/>
    <s v="VIVO"/>
    <m/>
    <s v="Y21"/>
    <m/>
    <s v="AKOR-014"/>
    <m/>
    <s v="ORAIMO CABLE TYPE-C 2A OCD-114C"/>
    <m/>
    <n v="15000"/>
    <m/>
    <n v="1"/>
    <m/>
    <n v="20000"/>
    <m/>
    <n v="20000"/>
    <m/>
    <m/>
    <m/>
    <s v="N/A"/>
  </r>
  <r>
    <m/>
    <x v="2"/>
    <m/>
    <s v="MF-FP.24711"/>
    <m/>
    <s v="MF-ST.22195"/>
    <m/>
    <d v="2026-04-26T00:00:00"/>
    <m/>
    <s v="Member Reguler"/>
    <m/>
    <s v="C.08871"/>
    <m/>
    <s v="KUSRINI"/>
    <m/>
    <s v="WAHYU PRATAMA"/>
    <m/>
    <s v="SERVICE LAPTOP"/>
    <m/>
    <x v="2"/>
    <m/>
    <s v="ABDUL MUNAJAT"/>
    <m/>
    <x v="3"/>
    <m/>
    <s v="WAHYU PRATAMA"/>
    <m/>
    <s v="REPAIR"/>
    <m/>
    <s v="ASUS"/>
    <m/>
    <s v="TP203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2"/>
    <m/>
    <s v="MF-FP.24727"/>
    <m/>
    <s v="MF-ST.22216"/>
    <m/>
    <d v="2026-04-26T00:00:00"/>
    <m/>
    <s v="Member Reguler"/>
    <m/>
    <s v="C.13100"/>
    <m/>
    <s v="AWALUDIN"/>
    <m/>
    <s v="Achmad Indrawanto"/>
    <m/>
    <s v="SERVICE HANDPHONE"/>
    <m/>
    <x v="2"/>
    <m/>
    <s v="MUSTOFA"/>
    <m/>
    <x v="1"/>
    <m/>
    <s v="Achmad Indrawanto"/>
    <m/>
    <s v="REPAIR"/>
    <m/>
    <s v="REALME"/>
    <m/>
    <s v="Realme 5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2"/>
    <m/>
    <s v="MF-FP.24712"/>
    <m/>
    <s v="MF-ST.22196"/>
    <m/>
    <d v="2026-04-26T00:00:00"/>
    <m/>
    <s v="Member Reguler"/>
    <m/>
    <s v="C.08871"/>
    <m/>
    <s v="KUSRINI"/>
    <m/>
    <s v="WAHYU PRATAMA"/>
    <m/>
    <s v="PENJUALAN AKSESORIS"/>
    <m/>
    <x v="2"/>
    <m/>
    <s v="N/A"/>
    <m/>
    <x v="5"/>
    <m/>
    <s v="WAHYU PRATAMA"/>
    <m/>
    <s v="REPAIR"/>
    <m/>
    <s v="SAMSUNG"/>
    <m/>
    <s v="sam"/>
    <m/>
    <s v="106963"/>
    <m/>
    <s v="EAGET ENCLOSURE E15"/>
    <m/>
    <n v="46428.571429000003"/>
    <m/>
    <n v="1"/>
    <m/>
    <n v="150000"/>
    <m/>
    <n v="150000"/>
    <m/>
    <s v="Achmad Indrawanto"/>
    <m/>
    <s v="N/A"/>
  </r>
  <r>
    <m/>
    <x v="2"/>
    <m/>
    <s v="MF-FP.24713"/>
    <m/>
    <s v="MF-ST.22201"/>
    <m/>
    <d v="2026-04-26T00:00:00"/>
    <m/>
    <s v="Umum"/>
    <m/>
    <s v="C.13095"/>
    <m/>
    <s v="SUTRISNO"/>
    <m/>
    <s v="WAHYU PRATAMA"/>
    <m/>
    <s v="SERVICE HANDPHONE"/>
    <m/>
    <x v="0"/>
    <m/>
    <s v="YUVI NOFERIANTO"/>
    <m/>
    <x v="4"/>
    <m/>
    <s v="WAHYU PRATAMA"/>
    <m/>
    <s v="FLEXIBEL ON/OFF"/>
    <m/>
    <s v="SAMSUNG"/>
    <m/>
    <s v="A10S"/>
    <m/>
    <s v="JASA71"/>
    <m/>
    <s v="JASA REPAIR"/>
    <m/>
    <n v="0"/>
    <m/>
    <n v="1"/>
    <m/>
    <n v="115000"/>
    <m/>
    <n v="115000"/>
    <m/>
    <m/>
    <m/>
    <s v="N/A"/>
  </r>
  <r>
    <m/>
    <x v="2"/>
    <m/>
    <s v="MF-FP.24713"/>
    <m/>
    <s v="MF-ST.22201"/>
    <m/>
    <d v="2026-04-26T00:00:00"/>
    <m/>
    <s v="Umum"/>
    <m/>
    <s v="C.13095"/>
    <m/>
    <s v="SUTRISNO"/>
    <m/>
    <s v="WAHYU PRATAMA"/>
    <m/>
    <s v="SERVICE HANDPHONE"/>
    <m/>
    <x v="1"/>
    <m/>
    <s v="YUVI NOFERIANTO"/>
    <m/>
    <x v="4"/>
    <m/>
    <s v="WAHYU PRATAMA"/>
    <m/>
    <s v="FLEXIBEL ON/OFF"/>
    <m/>
    <s v="SAMSUNG"/>
    <m/>
    <s v="A10S"/>
    <m/>
    <s v="103698"/>
    <m/>
    <s v="PERNIK TBL O/F + VLM SAM A10S/A107/A107F"/>
    <m/>
    <n v="5000"/>
    <m/>
    <n v="1"/>
    <m/>
    <n v="20000"/>
    <m/>
    <n v="20000"/>
    <m/>
    <m/>
    <m/>
    <s v="N/A"/>
  </r>
  <r>
    <m/>
    <x v="2"/>
    <m/>
    <s v="MF-FP.24713"/>
    <m/>
    <s v="MF-ST.22201"/>
    <m/>
    <d v="2026-04-26T00:00:00"/>
    <m/>
    <s v="Umum"/>
    <m/>
    <s v="C.13095"/>
    <m/>
    <s v="SUTRISNO"/>
    <m/>
    <s v="WAHYU PRATAMA"/>
    <m/>
    <s v="SERVICE HANDPHONE"/>
    <m/>
    <x v="2"/>
    <m/>
    <s v="YUVI NOFERIANTO"/>
    <m/>
    <x v="4"/>
    <m/>
    <s v="WAHYU PRATAMA"/>
    <m/>
    <s v="FLEXIBEL ON/OFF"/>
    <m/>
    <s v="SAMSUNG"/>
    <m/>
    <s v="A10S"/>
    <m/>
    <s v="AKOR-014"/>
    <m/>
    <s v="ORAIMO CABLE TYPE-C 2A OCD-114C"/>
    <m/>
    <n v="15000"/>
    <m/>
    <n v="1"/>
    <m/>
    <n v="15000"/>
    <m/>
    <n v="15000"/>
    <m/>
    <m/>
    <m/>
    <s v="N/A"/>
  </r>
  <r>
    <m/>
    <x v="2"/>
    <m/>
    <s v="MF-FP.24715"/>
    <m/>
    <s v="MF-ST.22204"/>
    <m/>
    <d v="2026-04-26T00:00:00"/>
    <m/>
    <s v="Member Reguler"/>
    <m/>
    <s v="C.08103"/>
    <m/>
    <s v="DIAN"/>
    <m/>
    <s v="WAHYU PRATAMA"/>
    <m/>
    <s v="SERVICE LAPTOP"/>
    <m/>
    <x v="0"/>
    <m/>
    <s v="ABDUL MUNAJAT"/>
    <m/>
    <x v="3"/>
    <m/>
    <s v="WAHYU PRATAMA"/>
    <m/>
    <s v="SOFTWARE"/>
    <m/>
    <s v="ASUS"/>
    <m/>
    <s v="Asus Vivobook 14"/>
    <m/>
    <s v="JASA71"/>
    <m/>
    <s v="JASA REPAIR"/>
    <m/>
    <n v="0"/>
    <m/>
    <n v="1"/>
    <m/>
    <n v="135000"/>
    <m/>
    <n v="135000"/>
    <m/>
    <s v="Achmad Indrawanto"/>
    <m/>
    <s v="N/A"/>
  </r>
  <r>
    <m/>
    <x v="2"/>
    <m/>
    <s v="MF-FP.24716"/>
    <m/>
    <s v="MF-ST.22205"/>
    <m/>
    <d v="2026-04-26T00:00:00"/>
    <m/>
    <s v="Umum"/>
    <m/>
    <s v="C.13097"/>
    <m/>
    <s v="ARKAF"/>
    <m/>
    <s v="WAHYU PRATAMA"/>
    <m/>
    <s v="SERVICE LAPTOP"/>
    <m/>
    <x v="0"/>
    <m/>
    <s v="ABDUL MUNAJAT"/>
    <m/>
    <x v="3"/>
    <m/>
    <s v="WAHYU PRATAMA"/>
    <m/>
    <s v="SOFTWARE"/>
    <m/>
    <s v="ACER"/>
    <m/>
    <s v="Acer Nitro 5"/>
    <m/>
    <s v="JASA71"/>
    <m/>
    <s v="JASA REPAIR"/>
    <m/>
    <n v="0"/>
    <m/>
    <n v="1"/>
    <m/>
    <n v="185000"/>
    <m/>
    <n v="185000"/>
    <m/>
    <m/>
    <m/>
    <s v="N/A"/>
  </r>
  <r>
    <m/>
    <x v="2"/>
    <m/>
    <s v="MF-FP.24716"/>
    <m/>
    <s v="MF-ST.22205"/>
    <m/>
    <d v="2026-04-26T00:00:00"/>
    <m/>
    <s v="Umum"/>
    <m/>
    <s v="C.13097"/>
    <m/>
    <s v="ARKAF"/>
    <m/>
    <s v="WAHYU PRATAMA"/>
    <m/>
    <s v="SERVICE LAPTOP"/>
    <m/>
    <x v="2"/>
    <m/>
    <s v="ABDUL MUNAJAT"/>
    <m/>
    <x v="3"/>
    <m/>
    <s v="WAHYU PRATAMA"/>
    <m/>
    <s v="SOFTWARE"/>
    <m/>
    <s v="ACER"/>
    <m/>
    <s v="Acer Nitro 5"/>
    <m/>
    <s v="AKOR-014"/>
    <m/>
    <s v="ORAIMO CABLE TYPE-C 2A OCD-114C"/>
    <m/>
    <n v="15000"/>
    <m/>
    <n v="1"/>
    <m/>
    <n v="15000"/>
    <m/>
    <n v="15000"/>
    <m/>
    <m/>
    <m/>
    <s v="N/A"/>
  </r>
  <r>
    <m/>
    <x v="2"/>
    <m/>
    <s v="MF-FP.24728"/>
    <m/>
    <s v="MF-ST.22185"/>
    <m/>
    <d v="2026-04-25T00:00:00"/>
    <m/>
    <s v="Umum"/>
    <m/>
    <s v="C.01792"/>
    <m/>
    <s v="BP ICAN"/>
    <m/>
    <s v="HANIF"/>
    <m/>
    <s v="SERVICE HANDPHONE"/>
    <m/>
    <x v="0"/>
    <m/>
    <s v="ARI MARWAN"/>
    <m/>
    <x v="0"/>
    <m/>
    <s v="Achmad Indrawanto"/>
    <m/>
    <s v="HARDWARE"/>
    <m/>
    <s v="XIAOMI"/>
    <m/>
    <s v="Poco M3 Pro 5G"/>
    <m/>
    <s v="JASA71"/>
    <m/>
    <s v="JASA REPAIR"/>
    <m/>
    <n v="0"/>
    <m/>
    <n v="1"/>
    <m/>
    <n v="245000"/>
    <m/>
    <n v="245000"/>
    <m/>
    <m/>
    <m/>
    <s v="N/A"/>
  </r>
  <r>
    <m/>
    <x v="2"/>
    <m/>
    <s v="MF-FP.24728"/>
    <m/>
    <s v="MF-ST.22185"/>
    <m/>
    <d v="2026-04-25T00:00:00"/>
    <m/>
    <s v="Umum"/>
    <m/>
    <s v="C.01792"/>
    <m/>
    <s v="BP ICAN"/>
    <m/>
    <s v="HANIF"/>
    <m/>
    <s v="SERVICE HANDPHONE"/>
    <m/>
    <x v="1"/>
    <m/>
    <s v="ARI MARWAN"/>
    <m/>
    <x v="0"/>
    <m/>
    <s v="Achmad Indrawanto"/>
    <m/>
    <s v="HARDWARE"/>
    <m/>
    <s v="XIAOMI"/>
    <m/>
    <s v="Poco M3 Pro 5G"/>
    <m/>
    <s v="102427"/>
    <m/>
    <s v="BATER XIO REDMI 10 4G/NOTE 10 5G/POCO M3 PRO 5G BN5A"/>
    <m/>
    <n v="123744.918699"/>
    <m/>
    <n v="1"/>
    <m/>
    <n v="160000"/>
    <m/>
    <n v="160000"/>
    <m/>
    <m/>
    <m/>
    <s v="N/A"/>
  </r>
  <r>
    <m/>
    <x v="2"/>
    <m/>
    <s v="MF-FP.24717"/>
    <m/>
    <s v="MF-ST.22140"/>
    <m/>
    <d v="2026-04-23T00:00:00"/>
    <m/>
    <s v="Umum"/>
    <m/>
    <s v="C.13071"/>
    <m/>
    <s v="CAHAYA"/>
    <m/>
    <s v="WAHYU PRATAMA"/>
    <m/>
    <s v="SERVICE LAPTOP"/>
    <m/>
    <x v="0"/>
    <m/>
    <s v="ARIFIN SANTOSO JATIMULYA"/>
    <m/>
    <x v="6"/>
    <m/>
    <s v="HANIF"/>
    <m/>
    <s v="ENGSEL"/>
    <m/>
    <s v="HP"/>
    <m/>
    <s v="ASPIRE LITE 14"/>
    <m/>
    <s v="JASA71"/>
    <m/>
    <s v="JASA REPAIR"/>
    <m/>
    <n v="0"/>
    <m/>
    <n v="1"/>
    <m/>
    <n v="130000"/>
    <m/>
    <n v="130000"/>
    <m/>
    <m/>
    <m/>
    <s v="N/A"/>
  </r>
  <r>
    <m/>
    <x v="2"/>
    <m/>
    <s v="MF-FP.24717"/>
    <m/>
    <s v="MF-ST.22140"/>
    <m/>
    <d v="2026-04-23T00:00:00"/>
    <m/>
    <s v="Umum"/>
    <m/>
    <s v="C.13071"/>
    <m/>
    <s v="CAHAYA"/>
    <m/>
    <s v="WAHYU PRATAMA"/>
    <m/>
    <s v="SERVICE LAPTOP"/>
    <m/>
    <x v="2"/>
    <m/>
    <s v="ARIFIN SANTOSO JATIMULYA"/>
    <m/>
    <x v="6"/>
    <m/>
    <s v="HANIF"/>
    <m/>
    <s v="ENGSEL"/>
    <m/>
    <s v="HP"/>
    <m/>
    <s v="ASPIRE LITE 14"/>
    <m/>
    <s v="AKOR-014"/>
    <m/>
    <s v="ORAIMO CABLE TYPE-C 2A OCD-114C"/>
    <m/>
    <n v="15000"/>
    <m/>
    <n v="1"/>
    <m/>
    <n v="20000"/>
    <m/>
    <n v="20000"/>
    <m/>
    <m/>
    <m/>
    <s v="N/A"/>
  </r>
  <r>
    <m/>
    <x v="2"/>
    <m/>
    <s v="MF-FP.24728"/>
    <m/>
    <s v="MF-ST.22185"/>
    <m/>
    <d v="2026-04-25T00:00:00"/>
    <m/>
    <s v="Umum"/>
    <m/>
    <s v="C.01792"/>
    <m/>
    <s v="BP ICAN"/>
    <m/>
    <s v="HANIF"/>
    <m/>
    <s v="SERVICE HANDPHONE"/>
    <m/>
    <x v="2"/>
    <m/>
    <s v="ARI MARWAN"/>
    <m/>
    <x v="0"/>
    <m/>
    <s v="Achmad Indrawanto"/>
    <m/>
    <s v="HARDWARE"/>
    <m/>
    <s v="XIAOMI"/>
    <m/>
    <s v="Poco M3 Pro 5G"/>
    <m/>
    <s v="AKOR-014"/>
    <m/>
    <s v="ORAIMO CABLE TYPE-C 2A OCD-114C"/>
    <m/>
    <n v="15000"/>
    <m/>
    <n v="1"/>
    <m/>
    <n v="25000"/>
    <m/>
    <n v="25000"/>
    <m/>
    <m/>
    <m/>
    <s v="N/A"/>
  </r>
  <r>
    <m/>
    <x v="2"/>
    <m/>
    <s v="MF-FP.24728"/>
    <m/>
    <s v="MF-ST.22185"/>
    <m/>
    <d v="2026-04-25T00:00:00"/>
    <m/>
    <s v="Umum"/>
    <m/>
    <s v="C.01792"/>
    <m/>
    <s v="BP ICAN"/>
    <m/>
    <s v="HANIF"/>
    <m/>
    <s v="SERVICE HANDPHONE"/>
    <m/>
    <x v="1"/>
    <m/>
    <s v="ARI MARWAN"/>
    <m/>
    <x v="0"/>
    <m/>
    <s v="Achmad Indrawanto"/>
    <m/>
    <s v="HARDWARE"/>
    <m/>
    <s v="XIAOMI"/>
    <m/>
    <s v="Poco M3 Pro 5G"/>
    <m/>
    <s v="102168"/>
    <m/>
    <s v="PERNIK TBL VLM XIO REDMI NOTE 10 5G/POCO M3 PRO"/>
    <m/>
    <n v="8328.0248859999992"/>
    <m/>
    <n v="1"/>
    <m/>
    <n v="20000"/>
    <m/>
    <n v="20000"/>
    <m/>
    <m/>
    <m/>
    <s v="N/A"/>
  </r>
  <r>
    <m/>
    <x v="2"/>
    <m/>
    <s v="MF-FP.24711"/>
    <m/>
    <s v="MF-ST.22195"/>
    <m/>
    <d v="2026-04-26T00:00:00"/>
    <m/>
    <s v="Member Reguler"/>
    <m/>
    <s v="C.08871"/>
    <m/>
    <s v="KUSRINI"/>
    <m/>
    <s v="WAHYU PRATAMA"/>
    <m/>
    <s v="SERVICE LAPTOP"/>
    <m/>
    <x v="0"/>
    <m/>
    <s v="ABDUL MUNAJAT"/>
    <m/>
    <x v="3"/>
    <m/>
    <s v="WAHYU PRATAMA"/>
    <m/>
    <s v="REPAIR"/>
    <m/>
    <s v="ASUS"/>
    <m/>
    <s v="TP203"/>
    <m/>
    <s v="JASA71"/>
    <m/>
    <s v="JASA REPAIR"/>
    <m/>
    <n v="0"/>
    <m/>
    <n v="1"/>
    <m/>
    <n v="135000"/>
    <m/>
    <n v="135000"/>
    <m/>
    <s v="Achmad Indrawanto"/>
    <m/>
    <s v="N/A"/>
  </r>
  <r>
    <m/>
    <x v="2"/>
    <m/>
    <s v="MF-FP.24727"/>
    <m/>
    <s v="MF-ST.22216"/>
    <m/>
    <d v="2026-04-26T00:00:00"/>
    <m/>
    <s v="Member Reguler"/>
    <m/>
    <s v="C.13100"/>
    <m/>
    <s v="AWALUDIN"/>
    <m/>
    <s v="Achmad Indrawanto"/>
    <m/>
    <s v="SERVICE HANDPHONE"/>
    <m/>
    <x v="0"/>
    <m/>
    <s v="MUSTOFA"/>
    <m/>
    <x v="1"/>
    <m/>
    <s v="Achmad Indrawanto"/>
    <m/>
    <s v="REPAIR"/>
    <m/>
    <s v="REALME"/>
    <m/>
    <s v="Realme 5"/>
    <m/>
    <s v="JASA71"/>
    <m/>
    <s v="JASA REPAIR"/>
    <m/>
    <n v="0"/>
    <m/>
    <n v="1"/>
    <m/>
    <n v="125000"/>
    <m/>
    <n v="125000"/>
    <m/>
    <s v="Achmad Indrawanto"/>
    <m/>
    <s v="N/A"/>
  </r>
  <r>
    <m/>
    <x v="2"/>
    <m/>
    <s v="MF-FP.24714"/>
    <m/>
    <s v="MF-ST.22203"/>
    <m/>
    <d v="2026-04-26T00:00:00"/>
    <m/>
    <s v="Umum"/>
    <m/>
    <s v="C.00000"/>
    <m/>
    <s v="Pelanggan Umum"/>
    <m/>
    <s v="WAHYU PRATAMA"/>
    <m/>
    <s v="SERVICE HANDPHONE"/>
    <m/>
    <x v="0"/>
    <m/>
    <s v="YUVI NOFERIANTO"/>
    <m/>
    <x v="4"/>
    <m/>
    <s v="WAHYU PRATAMA"/>
    <m/>
    <s v="REPAIR"/>
    <m/>
    <s v="SAMSUNG"/>
    <m/>
    <s v="A32`"/>
    <m/>
    <s v="JASA71"/>
    <m/>
    <s v="JASA REPAIR"/>
    <m/>
    <n v="0"/>
    <m/>
    <n v="1"/>
    <m/>
    <n v="25000"/>
    <m/>
    <n v="25000"/>
    <m/>
    <m/>
    <m/>
    <s v="N/A"/>
  </r>
  <r>
    <m/>
    <x v="2"/>
    <m/>
    <s v="MF-FP.24714"/>
    <m/>
    <s v="MF-ST.22203"/>
    <m/>
    <d v="2026-04-26T00:00:00"/>
    <m/>
    <s v="Umum"/>
    <m/>
    <s v="C.00000"/>
    <m/>
    <s v="Pelanggan Umum"/>
    <m/>
    <s v="WAHYU PRATAMA"/>
    <m/>
    <s v="SERVICE HANDPHONE"/>
    <m/>
    <x v="2"/>
    <m/>
    <s v="YUVI NOFERIANTO"/>
    <m/>
    <x v="4"/>
    <m/>
    <s v="WAHYU PRATAMA"/>
    <m/>
    <s v="REPAIR"/>
    <m/>
    <s v="SAMSUNG"/>
    <m/>
    <s v="A32`"/>
    <m/>
    <s v="AKOR-014"/>
    <m/>
    <s v="ORAIMO CABLE TYPE-C 2A OCD-114C"/>
    <m/>
    <n v="15000"/>
    <m/>
    <n v="1"/>
    <m/>
    <n v="15000"/>
    <m/>
    <n v="15000"/>
    <m/>
    <m/>
    <m/>
    <s v="N/A"/>
  </r>
  <r>
    <m/>
    <x v="2"/>
    <m/>
    <s v="MF-FP.24715"/>
    <m/>
    <s v="MF-ST.22204"/>
    <m/>
    <d v="2026-04-26T00:00:00"/>
    <m/>
    <s v="Member Reguler"/>
    <m/>
    <s v="C.08103"/>
    <m/>
    <s v="DIAN"/>
    <m/>
    <s v="WAHYU PRATAMA"/>
    <m/>
    <s v="SERVICE LAPTOP"/>
    <m/>
    <x v="2"/>
    <m/>
    <s v="ABDUL MUNAJAT"/>
    <m/>
    <x v="3"/>
    <m/>
    <s v="WAHYU PRATAMA"/>
    <m/>
    <s v="SOFTWARE"/>
    <m/>
    <s v="ASUS"/>
    <m/>
    <s v="Asus Vivobook 14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2"/>
    <m/>
    <s v="MF-FP.24718"/>
    <m/>
    <s v="MF-ST.22161"/>
    <m/>
    <d v="2026-04-24T00:00:00"/>
    <m/>
    <s v="Umum"/>
    <m/>
    <s v="C.13078"/>
    <m/>
    <s v="RIFKY"/>
    <m/>
    <s v="WAHYU PRATAMA"/>
    <m/>
    <s v="SERVICE LAPTOP"/>
    <m/>
    <x v="0"/>
    <m/>
    <s v="ABDUL MUNAJAT"/>
    <m/>
    <x v="3"/>
    <m/>
    <s v="WAHYU PRATAMA"/>
    <m/>
    <s v="REPAIR"/>
    <m/>
    <s v="LENOVO"/>
    <m/>
    <s v="IDEAPAD SLIM 1"/>
    <m/>
    <s v="JASA71"/>
    <m/>
    <s v="JASA REPAIR"/>
    <m/>
    <n v="0"/>
    <m/>
    <n v="1"/>
    <m/>
    <n v="285000"/>
    <m/>
    <n v="285000"/>
    <m/>
    <m/>
    <m/>
    <s v="N/A"/>
  </r>
  <r>
    <m/>
    <x v="2"/>
    <m/>
    <s v="MF-FP.24718"/>
    <m/>
    <s v="MF-ST.22161"/>
    <m/>
    <d v="2026-04-24T00:00:00"/>
    <m/>
    <s v="Umum"/>
    <m/>
    <s v="C.13078"/>
    <m/>
    <s v="RIFKY"/>
    <m/>
    <s v="WAHYU PRATAMA"/>
    <m/>
    <s v="SERVICE LAPTOP"/>
    <m/>
    <x v="2"/>
    <m/>
    <s v="ABDUL MUNAJAT"/>
    <m/>
    <x v="3"/>
    <m/>
    <s v="WAHYU PRATAMA"/>
    <m/>
    <s v="REPAIR"/>
    <m/>
    <s v="LENOVO"/>
    <m/>
    <s v="IDEAPAD SLIM 1"/>
    <m/>
    <s v="AKOR-014"/>
    <m/>
    <s v="ORAIMO CABLE TYPE-C 2A OCD-114C"/>
    <m/>
    <n v="15000"/>
    <m/>
    <n v="1"/>
    <m/>
    <n v="15000"/>
    <m/>
    <n v="15000"/>
    <m/>
    <m/>
    <m/>
    <s v="N/A"/>
  </r>
  <r>
    <m/>
    <x v="2"/>
    <m/>
    <s v="MF-FP.24719"/>
    <m/>
    <s v="MF-ST.22209"/>
    <m/>
    <d v="2026-04-26T00:00:00"/>
    <m/>
    <s v="Umum"/>
    <m/>
    <s v="C.11624"/>
    <m/>
    <s v="HENI"/>
    <m/>
    <s v="HANIF"/>
    <m/>
    <s v="SERVICE HANDPHONE"/>
    <m/>
    <x v="0"/>
    <m/>
    <s v="ARI MARWAN"/>
    <m/>
    <x v="0"/>
    <m/>
    <s v="HANIF"/>
    <m/>
    <s v="FLEXIBEL CHARGER (PAPAN KONEKTOR)"/>
    <m/>
    <s v="VIVO"/>
    <m/>
    <s v="Vivo Y29"/>
    <m/>
    <s v="JASA71"/>
    <m/>
    <s v="JASA REPAIR"/>
    <m/>
    <n v="0"/>
    <m/>
    <n v="1"/>
    <m/>
    <n v="50000"/>
    <m/>
    <n v="50000"/>
    <m/>
    <m/>
    <m/>
    <s v="N/A"/>
  </r>
  <r>
    <m/>
    <x v="2"/>
    <m/>
    <s v="MF-FP.24719"/>
    <m/>
    <s v="MF-ST.22209"/>
    <m/>
    <d v="2026-04-26T00:00:00"/>
    <m/>
    <s v="Umum"/>
    <m/>
    <s v="C.11624"/>
    <m/>
    <s v="HENI"/>
    <m/>
    <s v="HANIF"/>
    <m/>
    <s v="SERVICE HANDPHONE"/>
    <m/>
    <x v="1"/>
    <m/>
    <s v="ARI MARWAN"/>
    <m/>
    <x v="0"/>
    <m/>
    <s v="HANIF"/>
    <m/>
    <s v="FLEXIBEL CHARGER (PAPAN KONEKTOR)"/>
    <m/>
    <s v="VIVO"/>
    <m/>
    <s v="Vivo Y29"/>
    <m/>
    <s v="107197"/>
    <m/>
    <s v="FLCRG VIV Y29 4G"/>
    <m/>
    <n v="27722.891565999998"/>
    <m/>
    <n v="1"/>
    <m/>
    <n v="30000"/>
    <m/>
    <n v="30000"/>
    <m/>
    <m/>
    <m/>
    <s v="N/A"/>
  </r>
  <r>
    <m/>
    <x v="2"/>
    <m/>
    <s v="MF-FP.24719"/>
    <m/>
    <s v="MF-ST.22209"/>
    <m/>
    <d v="2026-04-26T00:00:00"/>
    <m/>
    <s v="Umum"/>
    <m/>
    <s v="C.11624"/>
    <m/>
    <s v="HENI"/>
    <m/>
    <s v="HANIF"/>
    <m/>
    <s v="SERVICE HANDPHONE"/>
    <m/>
    <x v="2"/>
    <m/>
    <s v="ARI MARWAN"/>
    <m/>
    <x v="0"/>
    <m/>
    <s v="HANIF"/>
    <m/>
    <s v="FLEXIBEL CHARGER (PAPAN KONEKTOR)"/>
    <m/>
    <s v="VIVO"/>
    <m/>
    <s v="Vivo Y29"/>
    <m/>
    <s v="AKOR-014"/>
    <m/>
    <s v="ORAIMO CABLE TYPE-C 2A OCD-114C"/>
    <m/>
    <n v="15000"/>
    <m/>
    <n v="1"/>
    <m/>
    <n v="20000"/>
    <m/>
    <n v="20000"/>
    <m/>
    <m/>
    <m/>
    <s v="N/A"/>
  </r>
  <r>
    <m/>
    <x v="2"/>
    <m/>
    <s v="MF-FP.24729"/>
    <m/>
    <s v="MF-ST.22217"/>
    <m/>
    <d v="2026-04-26T00:00:00"/>
    <m/>
    <s v="Umum"/>
    <m/>
    <s v="C.07384"/>
    <m/>
    <s v="Asya"/>
    <m/>
    <s v="Achmad Indrawanto"/>
    <m/>
    <s v="SERVICE HANDPHONE"/>
    <m/>
    <x v="0"/>
    <m/>
    <s v="ARI MARWAN"/>
    <m/>
    <x v="0"/>
    <m/>
    <s v="Achmad Indrawanto"/>
    <m/>
    <s v="FLEXIBEL ON/OFF"/>
    <m/>
    <s v="OPPO"/>
    <m/>
    <s v="Oppo A12"/>
    <m/>
    <s v="JASA71"/>
    <m/>
    <s v="JASA REPAIR"/>
    <m/>
    <n v="0"/>
    <m/>
    <n v="1"/>
    <m/>
    <n v="93000"/>
    <m/>
    <n v="93000"/>
    <m/>
    <s v="TEGAR PUTRA YANSA SALES"/>
    <m/>
    <s v="N/A"/>
  </r>
  <r>
    <m/>
    <x v="2"/>
    <m/>
    <s v="MF-FP.24729"/>
    <m/>
    <s v="MF-ST.22217"/>
    <m/>
    <d v="2026-04-26T00:00:00"/>
    <m/>
    <s v="Umum"/>
    <m/>
    <s v="C.07384"/>
    <m/>
    <s v="Asya"/>
    <m/>
    <s v="Achmad Indrawanto"/>
    <m/>
    <s v="SERVICE HANDPHONE"/>
    <m/>
    <x v="1"/>
    <m/>
    <s v="ARI MARWAN"/>
    <m/>
    <x v="0"/>
    <m/>
    <s v="Achmad Indrawanto"/>
    <m/>
    <s v="FLEXIBEL ON/OFF"/>
    <m/>
    <s v="OPPO"/>
    <m/>
    <s v="Oppo A12"/>
    <m/>
    <s v="101904"/>
    <m/>
    <s v="PERNIK TBL O/F + VLM  OPP A5s/OPP A12/OPP A7"/>
    <m/>
    <n v="6612.7272730000004"/>
    <m/>
    <n v="1"/>
    <m/>
    <n v="20000"/>
    <m/>
    <n v="20000"/>
    <m/>
    <s v="TEGAR PUTRA YANSA SALES"/>
    <m/>
    <s v="N/A"/>
  </r>
  <r>
    <m/>
    <x v="2"/>
    <m/>
    <s v="MF-FP.24729"/>
    <m/>
    <s v="MF-ST.22217"/>
    <m/>
    <d v="2026-04-26T00:00:00"/>
    <m/>
    <s v="Umum"/>
    <m/>
    <s v="C.07384"/>
    <m/>
    <s v="Asya"/>
    <m/>
    <s v="Achmad Indrawanto"/>
    <m/>
    <s v="SERVICE HANDPHONE"/>
    <m/>
    <x v="1"/>
    <m/>
    <s v="ARI MARWAN"/>
    <m/>
    <x v="0"/>
    <m/>
    <s v="Achmad Indrawanto"/>
    <m/>
    <s v="FLEXIBEL ON/OFF"/>
    <m/>
    <s v="OPPO"/>
    <m/>
    <s v="Oppo A12"/>
    <m/>
    <s v="100418"/>
    <m/>
    <s v="FLONF OPP A5S/A12/A11K"/>
    <m/>
    <n v="4727.2727269999996"/>
    <m/>
    <n v="1"/>
    <m/>
    <n v="12000"/>
    <m/>
    <n v="12000"/>
    <m/>
    <s v="TEGAR PUTRA YANSA SALES"/>
    <m/>
    <s v="N/A"/>
  </r>
  <r>
    <m/>
    <x v="2"/>
    <m/>
    <s v="MF-FP.24729"/>
    <m/>
    <s v="MF-ST.22217"/>
    <m/>
    <d v="2026-04-26T00:00:00"/>
    <m/>
    <s v="Umum"/>
    <m/>
    <s v="C.07384"/>
    <m/>
    <s v="Asya"/>
    <m/>
    <s v="Achmad Indrawanto"/>
    <m/>
    <s v="SERVICE HANDPHONE"/>
    <m/>
    <x v="2"/>
    <m/>
    <s v="ARI MARWAN"/>
    <m/>
    <x v="0"/>
    <m/>
    <s v="Achmad Indrawanto"/>
    <m/>
    <s v="FLEXIBEL ON/OFF"/>
    <m/>
    <s v="OPPO"/>
    <m/>
    <s v="Oppo A12"/>
    <m/>
    <s v="AKOR-014"/>
    <m/>
    <s v="ORAIMO CABLE TYPE-C 2A OCD-114C"/>
    <m/>
    <n v="15000"/>
    <m/>
    <n v="1"/>
    <m/>
    <n v="25000"/>
    <m/>
    <n v="25000"/>
    <m/>
    <s v="TEGAR PUTRA YANSA SALES"/>
    <m/>
    <s v="N/A"/>
  </r>
  <r>
    <m/>
    <x v="2"/>
    <m/>
    <s v="MF-FP.24722"/>
    <m/>
    <s v="MF-ST.22214"/>
    <m/>
    <d v="2026-04-26T00:00:00"/>
    <m/>
    <s v="Umum"/>
    <m/>
    <s v="C.10810"/>
    <m/>
    <s v="KAK RENITA"/>
    <m/>
    <s v="HANIF"/>
    <m/>
    <s v="SERVICE HANDPHONE"/>
    <m/>
    <x v="0"/>
    <m/>
    <s v="MUSTOFA"/>
    <m/>
    <x v="1"/>
    <m/>
    <s v="Achmad Indrawanto"/>
    <m/>
    <s v="FLEXIBEL CHARGER (PAPAN KONEKTOR)"/>
    <m/>
    <s v="SAMSUNG"/>
    <m/>
    <s v="Samsung a32 4g"/>
    <m/>
    <s v="JASA71"/>
    <m/>
    <s v="JASA REPAIR"/>
    <m/>
    <n v="0"/>
    <m/>
    <n v="1"/>
    <m/>
    <n v="175000"/>
    <m/>
    <n v="175000"/>
    <m/>
    <m/>
    <m/>
    <s v="N/A"/>
  </r>
  <r>
    <m/>
    <x v="2"/>
    <m/>
    <s v="MF-FP.24722"/>
    <m/>
    <s v="MF-ST.22214"/>
    <m/>
    <d v="2026-04-26T00:00:00"/>
    <m/>
    <s v="Umum"/>
    <m/>
    <s v="C.10810"/>
    <m/>
    <s v="KAK RENITA"/>
    <m/>
    <s v="HANIF"/>
    <m/>
    <s v="SERVICE HANDPHONE"/>
    <m/>
    <x v="1"/>
    <m/>
    <s v="MUSTOFA"/>
    <m/>
    <x v="1"/>
    <m/>
    <s v="Achmad Indrawanto"/>
    <m/>
    <s v="FLEXIBEL CHARGER (PAPAN KONEKTOR)"/>
    <m/>
    <s v="SAMSUNG"/>
    <m/>
    <s v="Samsung a32 4g"/>
    <m/>
    <s v="103413"/>
    <m/>
    <s v="FLCRG SAM A325F+CON T/C+CON H/F+MIC (GALAXY A32 4G)"/>
    <m/>
    <n v="21256.750775"/>
    <m/>
    <n v="1"/>
    <m/>
    <n v="50000"/>
    <m/>
    <n v="50000"/>
    <m/>
    <m/>
    <m/>
    <s v="N/A"/>
  </r>
  <r>
    <m/>
    <x v="2"/>
    <m/>
    <s v="MF-FP.24722"/>
    <m/>
    <s v="MF-ST.22214"/>
    <m/>
    <d v="2026-04-26T00:00:00"/>
    <m/>
    <s v="Umum"/>
    <m/>
    <s v="C.10810"/>
    <m/>
    <s v="KAK RENITA"/>
    <m/>
    <s v="HANIF"/>
    <m/>
    <s v="SERVICE HANDPHONE"/>
    <m/>
    <x v="2"/>
    <m/>
    <s v="MUSTOFA"/>
    <m/>
    <x v="1"/>
    <m/>
    <s v="Achmad Indrawanto"/>
    <m/>
    <s v="FLEXIBEL CHARGER (PAPAN KONEKTOR)"/>
    <m/>
    <s v="SAMSUNG"/>
    <m/>
    <s v="Samsung a32 4g"/>
    <m/>
    <s v="AKOR-014"/>
    <m/>
    <s v="ORAIMO CABLE TYPE-C 2A OCD-114C"/>
    <m/>
    <n v="15000"/>
    <m/>
    <n v="1"/>
    <m/>
    <n v="25000"/>
    <m/>
    <n v="25000"/>
    <m/>
    <m/>
    <m/>
    <s v="N/A"/>
  </r>
  <r>
    <m/>
    <x v="2"/>
    <m/>
    <s v="MF-FP.24730"/>
    <m/>
    <s v="MF-ST.22218"/>
    <m/>
    <d v="2026-04-26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7161"/>
    <m/>
    <s v="ANKER ZOLO CHARGER 30W PD 3.0 C TO C CABLE 3FT B2698L21 WHITE"/>
    <m/>
    <n v="149000"/>
    <m/>
    <n v="1"/>
    <m/>
    <n v="200000"/>
    <m/>
    <n v="200000"/>
    <m/>
    <m/>
    <m/>
    <s v="N/A"/>
  </r>
  <r>
    <m/>
    <x v="2"/>
    <m/>
    <s v="MF-FP.24720"/>
    <m/>
    <s v="MF-ST.22212"/>
    <m/>
    <d v="2026-04-26T00:00:00"/>
    <m/>
    <s v="Umum"/>
    <m/>
    <s v="C.11291"/>
    <m/>
    <s v="ANJANI"/>
    <m/>
    <s v="HANIF"/>
    <m/>
    <s v="SERVICE HANDPHONE"/>
    <m/>
    <x v="0"/>
    <m/>
    <s v="MUSTOFA"/>
    <m/>
    <x v="1"/>
    <m/>
    <s v="HANIF"/>
    <m/>
    <s v="BATERAI"/>
    <m/>
    <s v="APPLE"/>
    <m/>
    <s v="11 PRO MAX"/>
    <m/>
    <s v="JASA71"/>
    <m/>
    <s v="JASA REPAIR"/>
    <m/>
    <n v="0"/>
    <m/>
    <n v="1"/>
    <m/>
    <n v="300000"/>
    <m/>
    <n v="300000"/>
    <m/>
    <m/>
    <m/>
    <s v="N/A"/>
  </r>
  <r>
    <m/>
    <x v="2"/>
    <m/>
    <s v="MF-FP.24720"/>
    <m/>
    <s v="MF-ST.22212"/>
    <m/>
    <d v="2026-04-26T00:00:00"/>
    <m/>
    <s v="Umum"/>
    <m/>
    <s v="C.11291"/>
    <m/>
    <s v="ANJANI"/>
    <m/>
    <s v="HANIF"/>
    <m/>
    <s v="SERVICE HANDPHONE"/>
    <m/>
    <x v="1"/>
    <m/>
    <s v="MUSTOFA"/>
    <m/>
    <x v="1"/>
    <m/>
    <s v="HANIF"/>
    <m/>
    <s v="BATERAI"/>
    <m/>
    <s v="APPLE"/>
    <m/>
    <s v="11 PRO MAX"/>
    <m/>
    <s v="100496"/>
    <m/>
    <s v="BATER IPH 11 PRO MAX"/>
    <m/>
    <n v="198000"/>
    <m/>
    <n v="1"/>
    <m/>
    <n v="230000"/>
    <m/>
    <n v="230000"/>
    <m/>
    <m/>
    <m/>
    <s v="N/A"/>
  </r>
  <r>
    <m/>
    <x v="2"/>
    <m/>
    <s v="MF-FP.24720"/>
    <m/>
    <s v="MF-ST.22212"/>
    <m/>
    <d v="2026-04-26T00:00:00"/>
    <m/>
    <s v="Umum"/>
    <m/>
    <s v="C.11291"/>
    <m/>
    <s v="ANJANI"/>
    <m/>
    <s v="HANIF"/>
    <m/>
    <s v="SERVICE HANDPHONE"/>
    <m/>
    <x v="2"/>
    <m/>
    <s v="MUSTOFA"/>
    <m/>
    <x v="1"/>
    <m/>
    <s v="HANIF"/>
    <m/>
    <s v="BATERAI"/>
    <m/>
    <s v="APPLE"/>
    <m/>
    <s v="11 PRO MAX"/>
    <m/>
    <s v="101462"/>
    <m/>
    <s v="BROOKLYN TPGS. IPH 11 PRO MAX/IPH XS MAX SPY/PRIVACY"/>
    <m/>
    <n v="85000"/>
    <m/>
    <n v="1"/>
    <m/>
    <n v="150000"/>
    <m/>
    <n v="150000"/>
    <m/>
    <m/>
    <m/>
    <s v="N/A"/>
  </r>
  <r>
    <m/>
    <x v="2"/>
    <m/>
    <s v="MF-FP.24720"/>
    <m/>
    <s v="MF-ST.22212"/>
    <m/>
    <d v="2026-04-26T00:00:00"/>
    <m/>
    <s v="Umum"/>
    <m/>
    <s v="C.11291"/>
    <m/>
    <s v="ANJANI"/>
    <m/>
    <s v="HANIF"/>
    <m/>
    <s v="SERVICE HANDPHONE"/>
    <m/>
    <x v="2"/>
    <m/>
    <s v="MUSTOFA"/>
    <m/>
    <x v="1"/>
    <m/>
    <s v="HANIF"/>
    <m/>
    <s v="BATERAI"/>
    <m/>
    <s v="APPLE"/>
    <m/>
    <s v="11 PRO MAX"/>
    <m/>
    <s v="AKOR-014"/>
    <m/>
    <s v="ORAIMO CABLE TYPE-C 2A OCD-114C"/>
    <m/>
    <n v="15000"/>
    <m/>
    <n v="1"/>
    <m/>
    <n v="20000"/>
    <m/>
    <n v="20000"/>
    <m/>
    <m/>
    <m/>
    <s v="N/A"/>
  </r>
  <r>
    <m/>
    <x v="2"/>
    <m/>
    <s v="MF-FP.24721"/>
    <m/>
    <s v="MF-ST.22198"/>
    <m/>
    <d v="2026-04-26T00:00:00"/>
    <m/>
    <s v="Member Reguler"/>
    <m/>
    <s v="C.04516"/>
    <m/>
    <s v="GITA"/>
    <m/>
    <s v="WAHYU PRATAMA"/>
    <m/>
    <s v="SERVICE LAPTOP"/>
    <m/>
    <x v="0"/>
    <m/>
    <s v="ABDUL MUNAJAT"/>
    <m/>
    <x v="3"/>
    <m/>
    <s v="HANIF"/>
    <m/>
    <s v="SSD"/>
    <m/>
    <s v="ASUS"/>
    <m/>
    <s v="Asus E402y"/>
    <m/>
    <s v="JASA71"/>
    <m/>
    <s v="JASA REPAIR"/>
    <m/>
    <n v="0"/>
    <m/>
    <n v="1"/>
    <m/>
    <n v="750000"/>
    <m/>
    <n v="750000"/>
    <m/>
    <m/>
    <m/>
    <s v="N/A"/>
  </r>
  <r>
    <m/>
    <x v="2"/>
    <m/>
    <s v="MF-FP.24721"/>
    <m/>
    <s v="MF-ST.22198"/>
    <m/>
    <d v="2026-04-26T00:00:00"/>
    <m/>
    <s v="Member Reguler"/>
    <m/>
    <s v="C.04516"/>
    <m/>
    <s v="GITA"/>
    <m/>
    <s v="WAHYU PRATAMA"/>
    <m/>
    <s v="SERVICE LAPTOP"/>
    <m/>
    <x v="1"/>
    <m/>
    <s v="ABDUL MUNAJAT"/>
    <m/>
    <x v="3"/>
    <m/>
    <s v="HANIF"/>
    <m/>
    <s v="SSD"/>
    <m/>
    <s v="ASUS"/>
    <m/>
    <s v="Asus E402y"/>
    <m/>
    <s v="105777"/>
    <m/>
    <s v="VGEN SSD SATA III PLATINUM 256GB"/>
    <m/>
    <n v="642546.285455"/>
    <m/>
    <n v="1"/>
    <m/>
    <n v="830000"/>
    <m/>
    <n v="830000"/>
    <m/>
    <m/>
    <m/>
    <s v="N/A"/>
  </r>
  <r>
    <m/>
    <x v="2"/>
    <m/>
    <s v="MF-FP.24721"/>
    <m/>
    <s v="MF-ST.22198"/>
    <m/>
    <d v="2026-04-26T00:00:00"/>
    <m/>
    <s v="Member Reguler"/>
    <m/>
    <s v="C.04516"/>
    <m/>
    <s v="GITA"/>
    <m/>
    <s v="WAHYU PRATAMA"/>
    <m/>
    <s v="SERVICE LAPTOP"/>
    <m/>
    <x v="2"/>
    <m/>
    <s v="ABDUL MUNAJAT"/>
    <m/>
    <x v="3"/>
    <m/>
    <s v="HANIF"/>
    <m/>
    <s v="SSD"/>
    <m/>
    <s v="ASUS"/>
    <m/>
    <s v="Asus E402y"/>
    <m/>
    <s v="AKOR-014"/>
    <m/>
    <s v="ORAIMO CABLE TYPE-C 2A OCD-114C"/>
    <m/>
    <n v="15000"/>
    <m/>
    <n v="1"/>
    <m/>
    <n v="20000"/>
    <m/>
    <n v="20000"/>
    <m/>
    <m/>
    <m/>
    <s v="N/A"/>
  </r>
  <r>
    <m/>
    <x v="2"/>
    <m/>
    <s v="MF-FP.24723"/>
    <m/>
    <s v="MF-ST.22192"/>
    <m/>
    <d v="2026-04-25T00:00:00"/>
    <m/>
    <s v="Umum"/>
    <m/>
    <s v="C.10142"/>
    <m/>
    <s v="ALFIAN R"/>
    <m/>
    <s v="HANIF"/>
    <m/>
    <s v="SERVICE HANDPHONE"/>
    <m/>
    <x v="0"/>
    <m/>
    <s v="YUVI NOFERIANTO"/>
    <m/>
    <x v="4"/>
    <m/>
    <s v="Achmad Indrawanto"/>
    <m/>
    <s v="HARDWARE"/>
    <m/>
    <s v="XIAOMI"/>
    <m/>
    <s v="REDMI NOTE 8"/>
    <m/>
    <s v="JASA71"/>
    <m/>
    <s v="JASA REPAIR"/>
    <m/>
    <n v="0"/>
    <m/>
    <n v="1"/>
    <m/>
    <n v="105000"/>
    <m/>
    <n v="105000"/>
    <m/>
    <m/>
    <m/>
    <s v="N/A"/>
  </r>
  <r>
    <m/>
    <x v="2"/>
    <m/>
    <s v="MF-FP.24723"/>
    <m/>
    <s v="MF-ST.22192"/>
    <m/>
    <d v="2026-04-25T00:00:00"/>
    <m/>
    <s v="Umum"/>
    <m/>
    <s v="C.10142"/>
    <m/>
    <s v="ALFIAN R"/>
    <m/>
    <s v="HANIF"/>
    <m/>
    <s v="SERVICE HANDPHONE"/>
    <m/>
    <x v="1"/>
    <m/>
    <s v="YUVI NOFERIANTO"/>
    <m/>
    <x v="4"/>
    <m/>
    <s v="Achmad Indrawanto"/>
    <m/>
    <s v="HARDWARE"/>
    <m/>
    <s v="XIAOMI"/>
    <m/>
    <s v="REDMI NOTE 8"/>
    <m/>
    <s v="103668"/>
    <m/>
    <s v="PERNIK TBL O/F + VLM XIO REDMI NOTE 8"/>
    <m/>
    <n v="7536.9776860000002"/>
    <m/>
    <n v="1"/>
    <m/>
    <n v="20000"/>
    <m/>
    <n v="20000"/>
    <m/>
    <m/>
    <m/>
    <s v="N/A"/>
  </r>
  <r>
    <m/>
    <x v="2"/>
    <m/>
    <s v="MF-FP.24723"/>
    <m/>
    <s v="MF-ST.22192"/>
    <m/>
    <d v="2026-04-25T00:00:00"/>
    <m/>
    <s v="Umum"/>
    <m/>
    <s v="C.10142"/>
    <m/>
    <s v="ALFIAN R"/>
    <m/>
    <s v="HANIF"/>
    <m/>
    <s v="SERVICE HANDPHONE"/>
    <m/>
    <x v="2"/>
    <m/>
    <s v="YUVI NOFERIANTO"/>
    <m/>
    <x v="4"/>
    <m/>
    <s v="Achmad Indrawanto"/>
    <m/>
    <s v="HARDWARE"/>
    <m/>
    <s v="XIAOMI"/>
    <m/>
    <s v="REDMI NOTE 8"/>
    <m/>
    <s v="AKOR-014"/>
    <m/>
    <s v="ORAIMO CABLE TYPE-C 2A OCD-114C"/>
    <m/>
    <n v="15000"/>
    <m/>
    <n v="1"/>
    <m/>
    <n v="25000"/>
    <m/>
    <n v="25000"/>
    <m/>
    <m/>
    <m/>
    <s v="N/A"/>
  </r>
  <r>
    <m/>
    <x v="2"/>
    <m/>
    <s v="MF-FP.24731"/>
    <m/>
    <s v="MF-ST.22215"/>
    <m/>
    <d v="2026-04-26T00:00:00"/>
    <m/>
    <s v="Umum"/>
    <m/>
    <s v="C.13099"/>
    <m/>
    <s v="ADAM"/>
    <m/>
    <s v="HANIF"/>
    <m/>
    <s v="SERVICE HANDPHONE"/>
    <m/>
    <x v="0"/>
    <m/>
    <s v="MUSTOFA"/>
    <m/>
    <x v="1"/>
    <m/>
    <s v="Achmad Indrawanto"/>
    <m/>
    <s v="LCD"/>
    <m/>
    <s v="XIAOMI"/>
    <m/>
    <s v="Poco M3 pro 5g"/>
    <m/>
    <s v="JASA71"/>
    <m/>
    <s v="JASA REPAIR"/>
    <m/>
    <n v="0"/>
    <m/>
    <n v="1"/>
    <m/>
    <n v="205000"/>
    <m/>
    <n v="205000"/>
    <m/>
    <m/>
    <m/>
    <s v="N/A"/>
  </r>
  <r>
    <m/>
    <x v="2"/>
    <m/>
    <s v="MF-FP.24731"/>
    <m/>
    <s v="MF-ST.22215"/>
    <m/>
    <d v="2026-04-26T00:00:00"/>
    <m/>
    <s v="Umum"/>
    <m/>
    <s v="C.13099"/>
    <m/>
    <s v="ADAM"/>
    <m/>
    <s v="HANIF"/>
    <m/>
    <s v="SERVICE HANDPHONE"/>
    <m/>
    <x v="1"/>
    <m/>
    <s v="MUSTOFA"/>
    <m/>
    <x v="1"/>
    <m/>
    <s v="Achmad Indrawanto"/>
    <m/>
    <s v="LCD"/>
    <m/>
    <s v="XIAOMI"/>
    <m/>
    <s v="Poco M3 pro 5g"/>
    <m/>
    <s v="101372"/>
    <m/>
    <s v="LCD.. XIO REDMI NOTE 10 5G/POCO M3 PRO 5G"/>
    <m/>
    <n v="139161.72839599999"/>
    <m/>
    <n v="1"/>
    <m/>
    <n v="220000"/>
    <m/>
    <n v="220000"/>
    <m/>
    <m/>
    <m/>
    <s v="N/A"/>
  </r>
  <r>
    <m/>
    <x v="2"/>
    <m/>
    <s v="MF-FP.24731"/>
    <m/>
    <s v="MF-ST.22215"/>
    <m/>
    <d v="2026-04-26T00:00:00"/>
    <m/>
    <s v="Umum"/>
    <m/>
    <s v="C.13099"/>
    <m/>
    <s v="ADAM"/>
    <m/>
    <s v="HANIF"/>
    <m/>
    <s v="SERVICE HANDPHONE"/>
    <m/>
    <x v="2"/>
    <m/>
    <s v="MUSTOFA"/>
    <m/>
    <x v="1"/>
    <m/>
    <s v="Achmad Indrawanto"/>
    <m/>
    <s v="LCD"/>
    <m/>
    <s v="XIAOMI"/>
    <m/>
    <s v="Poco M3 pro 5g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2"/>
    <m/>
    <s v="MF-FP.24724"/>
    <m/>
    <s v="MF-ST.22199"/>
    <m/>
    <d v="2026-04-26T00:00:00"/>
    <m/>
    <s v="Umum"/>
    <m/>
    <s v="C.13093"/>
    <m/>
    <s v="BAYU AJI"/>
    <m/>
    <s v="WAHYU PRATAMA"/>
    <m/>
    <s v="SERVICE LAPTOP"/>
    <m/>
    <x v="0"/>
    <m/>
    <s v="ABDUL MUNAJAT"/>
    <m/>
    <x v="3"/>
    <m/>
    <s v="Achmad Indrawanto"/>
    <m/>
    <s v="SSD"/>
    <m/>
    <s v="ASUS"/>
    <m/>
    <s v="Asus TUF FX505"/>
    <m/>
    <s v="JASA71"/>
    <m/>
    <s v="JASA REPAIR"/>
    <m/>
    <n v="0"/>
    <m/>
    <n v="1"/>
    <m/>
    <n v="845000"/>
    <m/>
    <n v="845000"/>
    <m/>
    <m/>
    <m/>
    <s v="N/A"/>
  </r>
  <r>
    <m/>
    <x v="2"/>
    <m/>
    <s v="MF-FP.24724"/>
    <m/>
    <s v="MF-ST.22199"/>
    <m/>
    <d v="2026-04-26T00:00:00"/>
    <m/>
    <s v="Umum"/>
    <m/>
    <s v="C.13093"/>
    <m/>
    <s v="BAYU AJI"/>
    <m/>
    <s v="WAHYU PRATAMA"/>
    <m/>
    <s v="SERVICE LAPTOP"/>
    <m/>
    <x v="1"/>
    <m/>
    <s v="ABDUL MUNAJAT"/>
    <m/>
    <x v="3"/>
    <m/>
    <s v="Achmad Indrawanto"/>
    <m/>
    <s v="SSD"/>
    <m/>
    <s v="ASUS"/>
    <m/>
    <s v="Asus TUF FX505"/>
    <m/>
    <s v="105777"/>
    <m/>
    <s v="VGEN SSD SATA III PLATINUM 256GB"/>
    <m/>
    <n v="642546.285455"/>
    <m/>
    <n v="1"/>
    <m/>
    <n v="880000"/>
    <m/>
    <n v="880000"/>
    <m/>
    <m/>
    <m/>
    <s v="N/A"/>
  </r>
  <r>
    <m/>
    <x v="2"/>
    <m/>
    <s v="MF-FP.24724"/>
    <m/>
    <s v="MF-ST.22199"/>
    <m/>
    <d v="2026-04-26T00:00:00"/>
    <m/>
    <s v="Umum"/>
    <m/>
    <s v="C.13093"/>
    <m/>
    <s v="BAYU AJI"/>
    <m/>
    <s v="WAHYU PRATAMA"/>
    <m/>
    <s v="SERVICE LAPTOP"/>
    <m/>
    <x v="2"/>
    <m/>
    <s v="ABDUL MUNAJAT"/>
    <m/>
    <x v="3"/>
    <m/>
    <s v="Achmad Indrawanto"/>
    <m/>
    <s v="SSD"/>
    <m/>
    <s v="ASUS"/>
    <m/>
    <s v="Asus TUF FX505"/>
    <m/>
    <s v="AKOR-014"/>
    <m/>
    <s v="ORAIMO CABLE TYPE-C 2A OCD-114C"/>
    <m/>
    <n v="15000"/>
    <m/>
    <n v="1"/>
    <m/>
    <n v="25000"/>
    <m/>
    <n v="25000"/>
    <m/>
    <m/>
    <m/>
    <s v="N/A"/>
  </r>
  <r>
    <m/>
    <x v="2"/>
    <m/>
    <s v="MF-FP.24725"/>
    <m/>
    <s v="MF-ST.22211"/>
    <m/>
    <d v="2026-04-26T00:00:00"/>
    <m/>
    <s v="Umum"/>
    <m/>
    <s v="C.10954"/>
    <m/>
    <s v="AZZAM"/>
    <m/>
    <s v="HANIF"/>
    <m/>
    <s v="SERVICE HANDPHONE"/>
    <m/>
    <x v="1"/>
    <m/>
    <s v="ARI MARWAN"/>
    <m/>
    <x v="0"/>
    <m/>
    <s v="HANIF"/>
    <m/>
    <s v="LCD"/>
    <m/>
    <s v="XIAOMI"/>
    <m/>
    <s v="POCO F3"/>
    <m/>
    <s v="100803"/>
    <m/>
    <s v="LCD.. XIO POCO F3/POCO F4/K40 B"/>
    <m/>
    <n v="165000"/>
    <m/>
    <n v="1"/>
    <m/>
    <n v="225000"/>
    <m/>
    <n v="225000"/>
    <m/>
    <s v="Achmad Indrawanto"/>
    <m/>
    <s v="N/A"/>
  </r>
  <r>
    <m/>
    <x v="2"/>
    <m/>
    <s v="MF-FP.24725"/>
    <m/>
    <s v="MF-ST.22211"/>
    <m/>
    <d v="2026-04-26T00:00:00"/>
    <m/>
    <s v="Umum"/>
    <m/>
    <s v="C.10954"/>
    <m/>
    <s v="AZZAM"/>
    <m/>
    <s v="HANIF"/>
    <m/>
    <s v="SERVICE HANDPHONE"/>
    <m/>
    <x v="2"/>
    <m/>
    <s v="ARI MARWAN"/>
    <m/>
    <x v="0"/>
    <m/>
    <s v="HANIF"/>
    <m/>
    <s v="LCD"/>
    <m/>
    <s v="XIAOMI"/>
    <m/>
    <s v="POCO F3"/>
    <m/>
    <s v="100025"/>
    <m/>
    <s v="VIVAN HYDROGEL BASIC CRYSTAL CLEAR VSP01T"/>
    <m/>
    <n v="11151.582562"/>
    <m/>
    <n v="1"/>
    <m/>
    <n v="75000"/>
    <m/>
    <n v="75000"/>
    <m/>
    <s v="Achmad Indrawanto"/>
    <m/>
    <s v="N/A"/>
  </r>
  <r>
    <m/>
    <x v="2"/>
    <m/>
    <s v="MF-FP.24725"/>
    <m/>
    <s v="MF-ST.22211"/>
    <m/>
    <d v="2026-04-26T00:00:00"/>
    <m/>
    <s v="Umum"/>
    <m/>
    <s v="C.10954"/>
    <m/>
    <s v="AZZAM"/>
    <m/>
    <s v="HANIF"/>
    <m/>
    <s v="SERVICE HANDPHONE"/>
    <m/>
    <x v="0"/>
    <m/>
    <s v="ARI MARWAN"/>
    <m/>
    <x v="0"/>
    <m/>
    <s v="HANIF"/>
    <m/>
    <s v="LCD"/>
    <m/>
    <s v="XIAOMI"/>
    <m/>
    <s v="POCO F3"/>
    <m/>
    <s v="JASA71"/>
    <m/>
    <s v="JASA REPAIR"/>
    <m/>
    <n v="0"/>
    <m/>
    <n v="1"/>
    <m/>
    <n v="250000"/>
    <m/>
    <n v="250000"/>
    <m/>
    <s v="Achmad Indrawanto"/>
    <m/>
    <s v="N/A"/>
  </r>
  <r>
    <m/>
    <x v="2"/>
    <m/>
    <s v="MF-FP.24726"/>
    <m/>
    <s v="MF-ST.22200"/>
    <m/>
    <d v="2026-04-26T00:00:00"/>
    <m/>
    <s v="Umum"/>
    <m/>
    <s v="C.13094"/>
    <m/>
    <s v="DICKY"/>
    <m/>
    <s v="WAHYU PRATAMA"/>
    <m/>
    <s v="SERVICE LAPTOP"/>
    <m/>
    <x v="0"/>
    <m/>
    <s v="ABDUL MUNAJAT"/>
    <m/>
    <x v="3"/>
    <m/>
    <s v="HANIF"/>
    <m/>
    <s v="ENGSEL"/>
    <m/>
    <s v="LENOVO"/>
    <m/>
    <s v="Ideapad 3"/>
    <m/>
    <s v="JASA71"/>
    <m/>
    <s v="JASA REPAIR"/>
    <m/>
    <n v="0"/>
    <m/>
    <n v="1"/>
    <m/>
    <n v="280000"/>
    <m/>
    <n v="280000"/>
    <m/>
    <m/>
    <m/>
    <s v="N/A"/>
  </r>
  <r>
    <m/>
    <x v="2"/>
    <m/>
    <s v="MF-FP.24726"/>
    <m/>
    <s v="MF-ST.22200"/>
    <m/>
    <d v="2026-04-26T00:00:00"/>
    <m/>
    <s v="Umum"/>
    <m/>
    <s v="C.13094"/>
    <m/>
    <s v="DICKY"/>
    <m/>
    <s v="WAHYU PRATAMA"/>
    <m/>
    <s v="SERVICE LAPTOP"/>
    <m/>
    <x v="2"/>
    <m/>
    <s v="ABDUL MUNAJAT"/>
    <m/>
    <x v="3"/>
    <m/>
    <s v="HANIF"/>
    <m/>
    <s v="ENGSEL"/>
    <m/>
    <s v="LENOVO"/>
    <m/>
    <s v="Ideapad 3"/>
    <m/>
    <s v="AKOR-014"/>
    <m/>
    <s v="ORAIMO CABLE TYPE-C 2A OCD-114C"/>
    <m/>
    <n v="15000"/>
    <m/>
    <n v="1"/>
    <m/>
    <n v="20000"/>
    <m/>
    <n v="20000"/>
    <m/>
    <m/>
    <m/>
    <s v="N/A"/>
  </r>
  <r>
    <m/>
    <x v="3"/>
    <m/>
    <s v="MF-FP.24741"/>
    <m/>
    <s v="MF-ST.22233"/>
    <m/>
    <d v="2026-04-27T00:00:00"/>
    <m/>
    <s v="Member Reguler"/>
    <m/>
    <s v="MJ0095"/>
    <m/>
    <s v="Rara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5758"/>
    <m/>
    <s v="VGEN FLASHDISK USB 2.0 AVATAR 16GB"/>
    <m/>
    <n v="68754.530478000001"/>
    <m/>
    <n v="1"/>
    <m/>
    <n v="90000"/>
    <m/>
    <n v="90000"/>
    <m/>
    <s v="TEGAR PUTRA YANSA SALES"/>
    <m/>
    <s v="N/A"/>
  </r>
  <r>
    <m/>
    <x v="3"/>
    <m/>
    <s v="MF-FP.24733"/>
    <m/>
    <s v="MF-ST.22220"/>
    <m/>
    <d v="2026-04-27T00:00:00"/>
    <m/>
    <s v="Member Reguler"/>
    <m/>
    <s v="C.04520"/>
    <m/>
    <s v="Gustap"/>
    <m/>
    <s v="WAHYU PRATAMA"/>
    <m/>
    <s v="SERVICE HANDPHONE"/>
    <m/>
    <x v="0"/>
    <m/>
    <s v="ARI MARWAN"/>
    <m/>
    <x v="0"/>
    <m/>
    <s v="WAHYU PRATAMA"/>
    <m/>
    <s v="LCD"/>
    <m/>
    <s v="SAMSUNG"/>
    <m/>
    <s v="M21"/>
    <m/>
    <s v="JASA71"/>
    <m/>
    <s v="JASA REPAIR"/>
    <m/>
    <n v="0"/>
    <m/>
    <n v="1"/>
    <m/>
    <n v="250000"/>
    <m/>
    <n v="250000"/>
    <m/>
    <m/>
    <m/>
    <s v="N/A"/>
  </r>
  <r>
    <m/>
    <x v="3"/>
    <m/>
    <s v="MF-FP.24733"/>
    <m/>
    <s v="MF-ST.22220"/>
    <m/>
    <d v="2026-04-27T00:00:00"/>
    <m/>
    <s v="Member Reguler"/>
    <m/>
    <s v="C.04520"/>
    <m/>
    <s v="Gustap"/>
    <m/>
    <s v="WAHYU PRATAMA"/>
    <m/>
    <s v="SERVICE HANDPHONE"/>
    <m/>
    <x v="1"/>
    <m/>
    <s v="ARI MARWAN"/>
    <m/>
    <x v="0"/>
    <m/>
    <s v="WAHYU PRATAMA"/>
    <m/>
    <s v="LCD"/>
    <m/>
    <s v="SAMSUNG"/>
    <m/>
    <s v="M21"/>
    <m/>
    <s v="100783"/>
    <m/>
    <s v="LCD.. SAM M21/M30/M30s/M31 B"/>
    <m/>
    <n v="124000"/>
    <m/>
    <n v="1"/>
    <m/>
    <n v="185000"/>
    <m/>
    <n v="185000"/>
    <m/>
    <m/>
    <m/>
    <s v="N/A"/>
  </r>
  <r>
    <m/>
    <x v="3"/>
    <m/>
    <s v="MF-FP.24733"/>
    <m/>
    <s v="MF-ST.22220"/>
    <m/>
    <d v="2026-04-27T00:00:00"/>
    <m/>
    <s v="Member Reguler"/>
    <m/>
    <s v="C.04520"/>
    <m/>
    <s v="Gustap"/>
    <m/>
    <s v="WAHYU PRATAMA"/>
    <m/>
    <s v="SERVICE HANDPHONE"/>
    <m/>
    <x v="2"/>
    <m/>
    <s v="ARI MARWAN"/>
    <m/>
    <x v="0"/>
    <m/>
    <s v="WAHYU PRATAMA"/>
    <m/>
    <s v="LCD"/>
    <m/>
    <s v="SAMSUNG"/>
    <m/>
    <s v="M21"/>
    <m/>
    <s v="AKOR-014"/>
    <m/>
    <s v="ORAIMO CABLE TYPE-C 2A OCD-114C"/>
    <m/>
    <n v="15000"/>
    <m/>
    <n v="1"/>
    <m/>
    <n v="15000"/>
    <m/>
    <n v="15000"/>
    <m/>
    <m/>
    <m/>
    <s v="N/A"/>
  </r>
  <r>
    <m/>
    <x v="3"/>
    <m/>
    <s v="MF-FP.24734"/>
    <m/>
    <s v="MF-ST.22221"/>
    <m/>
    <d v="2026-04-27T00:00:00"/>
    <m/>
    <s v="Member Reguler"/>
    <m/>
    <s v="C.12661"/>
    <m/>
    <s v="RIFQI KUMARA"/>
    <m/>
    <s v="WAHYU PRATAMA"/>
    <m/>
    <s v="SERVICE HANDPHONE"/>
    <m/>
    <x v="0"/>
    <m/>
    <s v="ARI MARWAN"/>
    <m/>
    <x v="0"/>
    <m/>
    <s v="WAHYU PRATAMA"/>
    <m/>
    <s v="FLEXIBEL ON/OFF"/>
    <m/>
    <s v="OPPO"/>
    <m/>
    <s v="A5S"/>
    <m/>
    <s v="JASA71"/>
    <m/>
    <s v="JASA REPAIR"/>
    <m/>
    <n v="0"/>
    <m/>
    <n v="1"/>
    <m/>
    <n v="70000"/>
    <m/>
    <n v="70000"/>
    <m/>
    <s v="Achmad Indrawanto"/>
    <m/>
    <s v="N/A"/>
  </r>
  <r>
    <m/>
    <x v="3"/>
    <m/>
    <s v="MF-FP.24734"/>
    <m/>
    <s v="MF-ST.22221"/>
    <m/>
    <d v="2026-04-27T00:00:00"/>
    <m/>
    <s v="Member Reguler"/>
    <m/>
    <s v="C.12661"/>
    <m/>
    <s v="RIFQI KUMARA"/>
    <m/>
    <s v="WAHYU PRATAMA"/>
    <m/>
    <s v="SERVICE HANDPHONE"/>
    <m/>
    <x v="1"/>
    <m/>
    <s v="ARI MARWAN"/>
    <m/>
    <x v="0"/>
    <m/>
    <s v="WAHYU PRATAMA"/>
    <m/>
    <s v="FLEXIBEL ON/OFF"/>
    <m/>
    <s v="OPPO"/>
    <m/>
    <s v="A5S"/>
    <m/>
    <s v="101904"/>
    <m/>
    <s v="PERNIK TBL O/F + VLM  OPP A5s/OPP A12/OPP A7"/>
    <m/>
    <n v="6612.7272730000004"/>
    <m/>
    <n v="1"/>
    <m/>
    <n v="15000"/>
    <m/>
    <n v="15000"/>
    <m/>
    <s v="Achmad Indrawanto"/>
    <m/>
    <s v="N/A"/>
  </r>
  <r>
    <m/>
    <x v="3"/>
    <m/>
    <s v="MF-FP.24734"/>
    <m/>
    <s v="MF-ST.22221"/>
    <m/>
    <d v="2026-04-27T00:00:00"/>
    <m/>
    <s v="Member Reguler"/>
    <m/>
    <s v="C.12661"/>
    <m/>
    <s v="RIFQI KUMARA"/>
    <m/>
    <s v="WAHYU PRATAMA"/>
    <m/>
    <s v="SERVICE HANDPHONE"/>
    <m/>
    <x v="2"/>
    <m/>
    <s v="ARI MARWAN"/>
    <m/>
    <x v="0"/>
    <m/>
    <s v="WAHYU PRATAMA"/>
    <m/>
    <s v="FLEXIBEL ON/OFF"/>
    <m/>
    <s v="OPPO"/>
    <m/>
    <s v="A5S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3"/>
    <m/>
    <s v="MF-FP.24732"/>
    <m/>
    <s v="MF-ST.22219"/>
    <m/>
    <d v="2026-04-27T00:00:00"/>
    <m/>
    <s v="Umum"/>
    <m/>
    <s v="C.13101"/>
    <m/>
    <s v="GUNAWAN"/>
    <m/>
    <s v="WAHYU PRATAMA"/>
    <m/>
    <s v="SERVICE HANDPHONE"/>
    <m/>
    <x v="0"/>
    <m/>
    <s v="ARI MARWAN"/>
    <m/>
    <x v="0"/>
    <m/>
    <s v="WAHYU PRATAMA"/>
    <m/>
    <s v="REPAIR"/>
    <m/>
    <s v="SAMSUNG"/>
    <m/>
    <s v="A52"/>
    <m/>
    <s v="JASA71"/>
    <m/>
    <s v="JASA REPAIR"/>
    <m/>
    <n v="0"/>
    <m/>
    <n v="1"/>
    <m/>
    <n v="35000"/>
    <m/>
    <n v="35000"/>
    <m/>
    <m/>
    <m/>
    <s v="N/A"/>
  </r>
  <r>
    <m/>
    <x v="3"/>
    <m/>
    <s v="MF-FP.24732"/>
    <m/>
    <s v="MF-ST.22219"/>
    <m/>
    <d v="2026-04-27T00:00:00"/>
    <m/>
    <s v="Umum"/>
    <m/>
    <s v="C.13101"/>
    <m/>
    <s v="GUNAWAN"/>
    <m/>
    <s v="WAHYU PRATAMA"/>
    <m/>
    <s v="SERVICE HANDPHONE"/>
    <m/>
    <x v="2"/>
    <m/>
    <s v="ARI MARWAN"/>
    <m/>
    <x v="0"/>
    <m/>
    <s v="WAHYU PRATAMA"/>
    <m/>
    <s v="REPAIR"/>
    <m/>
    <s v="SAMSUNG"/>
    <m/>
    <s v="A52"/>
    <m/>
    <s v="AKOR-014"/>
    <m/>
    <s v="ORAIMO CABLE TYPE-C 2A OCD-114C"/>
    <m/>
    <n v="15000"/>
    <m/>
    <n v="1"/>
    <m/>
    <n v="15000"/>
    <m/>
    <n v="15000"/>
    <m/>
    <m/>
    <m/>
    <s v="N/A"/>
  </r>
  <r>
    <m/>
    <x v="3"/>
    <m/>
    <s v="MF-FP.24737"/>
    <m/>
    <s v="MF-ST.22225"/>
    <m/>
    <d v="2026-04-27T00:00:00"/>
    <m/>
    <s v="Umum"/>
    <m/>
    <s v="C.13103"/>
    <m/>
    <s v="AKBAR"/>
    <m/>
    <s v="WAHYU PRATAMA"/>
    <m/>
    <s v="SERVICE HANDPHONE"/>
    <m/>
    <x v="0"/>
    <m/>
    <s v="ARI MARWAN"/>
    <m/>
    <x v="0"/>
    <m/>
    <s v="HANIF"/>
    <m/>
    <s v="LCD"/>
    <m/>
    <s v="SAMSUNG"/>
    <m/>
    <s v="M23"/>
    <m/>
    <s v="JASA71"/>
    <m/>
    <s v="JASA REPAIR"/>
    <m/>
    <n v="0"/>
    <m/>
    <n v="1"/>
    <m/>
    <n v="230000"/>
    <m/>
    <n v="230000"/>
    <m/>
    <m/>
    <m/>
    <s v="N/A"/>
  </r>
  <r>
    <m/>
    <x v="3"/>
    <m/>
    <s v="MF-FP.24737"/>
    <m/>
    <s v="MF-ST.22225"/>
    <m/>
    <d v="2026-04-27T00:00:00"/>
    <m/>
    <s v="Umum"/>
    <m/>
    <s v="C.13103"/>
    <m/>
    <s v="AKBAR"/>
    <m/>
    <s v="WAHYU PRATAMA"/>
    <m/>
    <s v="SERVICE HANDPHONE"/>
    <m/>
    <x v="1"/>
    <m/>
    <s v="ARI MARWAN"/>
    <m/>
    <x v="0"/>
    <m/>
    <s v="HANIF"/>
    <m/>
    <s v="LCD"/>
    <m/>
    <s v="SAMSUNG"/>
    <m/>
    <s v="M23"/>
    <m/>
    <s v="100169"/>
    <m/>
    <s v="LCD.. SAM A23 4G/A13 4G/M23 5G/M33 5G B"/>
    <m/>
    <n v="142639.09022099999"/>
    <m/>
    <n v="1"/>
    <m/>
    <n v="200000"/>
    <m/>
    <n v="200000"/>
    <m/>
    <m/>
    <m/>
    <s v="N/A"/>
  </r>
  <r>
    <m/>
    <x v="3"/>
    <m/>
    <s v="MF-FP.24737"/>
    <m/>
    <s v="MF-ST.22225"/>
    <m/>
    <d v="2026-04-27T00:00:00"/>
    <m/>
    <s v="Umum"/>
    <m/>
    <s v="C.13103"/>
    <m/>
    <s v="AKBAR"/>
    <m/>
    <s v="WAHYU PRATAMA"/>
    <m/>
    <s v="SERVICE HANDPHONE"/>
    <m/>
    <x v="2"/>
    <m/>
    <s v="ARI MARWAN"/>
    <m/>
    <x v="0"/>
    <m/>
    <s v="HANIF"/>
    <m/>
    <s v="LCD"/>
    <m/>
    <s v="SAMSUNG"/>
    <m/>
    <s v="M23"/>
    <m/>
    <s v="AKOR-014"/>
    <m/>
    <s v="ORAIMO CABLE TYPE-C 2A OCD-114C"/>
    <m/>
    <n v="15000"/>
    <m/>
    <n v="1"/>
    <m/>
    <n v="20000"/>
    <m/>
    <n v="20000"/>
    <m/>
    <m/>
    <m/>
    <s v="N/A"/>
  </r>
  <r>
    <m/>
    <x v="3"/>
    <m/>
    <s v="MF-FP.24735"/>
    <m/>
    <s v="MF-ST.22222"/>
    <m/>
    <d v="2026-04-27T00:00:00"/>
    <m/>
    <s v="Umum"/>
    <m/>
    <s v="C.13102"/>
    <m/>
    <s v="SIDIQ"/>
    <m/>
    <s v="WAHYU PRATAMA"/>
    <m/>
    <s v="SERVICE HANDPHONE"/>
    <m/>
    <x v="0"/>
    <m/>
    <s v="ARI MARWAN"/>
    <m/>
    <x v="0"/>
    <m/>
    <s v="WAHYU PRATAMA"/>
    <m/>
    <s v="FLEXIBEL CHARGER (PAPAN KONEKTOR)"/>
    <m/>
    <s v="SAMSUNG"/>
    <m/>
    <s v="M31"/>
    <m/>
    <s v="JASA71"/>
    <m/>
    <s v="JASA REPAIR"/>
    <m/>
    <n v="0"/>
    <m/>
    <n v="1"/>
    <m/>
    <n v="150000"/>
    <m/>
    <n v="150000"/>
    <m/>
    <m/>
    <m/>
    <s v="N/A"/>
  </r>
  <r>
    <m/>
    <x v="3"/>
    <m/>
    <s v="MF-FP.24735"/>
    <m/>
    <s v="MF-ST.22222"/>
    <m/>
    <d v="2026-04-27T00:00:00"/>
    <m/>
    <s v="Umum"/>
    <m/>
    <s v="C.13102"/>
    <m/>
    <s v="SIDIQ"/>
    <m/>
    <s v="WAHYU PRATAMA"/>
    <m/>
    <s v="SERVICE HANDPHONE"/>
    <m/>
    <x v="1"/>
    <m/>
    <s v="ARI MARWAN"/>
    <m/>
    <x v="0"/>
    <m/>
    <s v="WAHYU PRATAMA"/>
    <m/>
    <s v="FLEXIBEL CHARGER (PAPAN KONEKTOR)"/>
    <m/>
    <s v="SAMSUNG"/>
    <m/>
    <s v="M31"/>
    <m/>
    <s v="101382"/>
    <m/>
    <s v="FLCRG SAM M31 ORI"/>
    <m/>
    <n v="65000"/>
    <m/>
    <n v="1"/>
    <m/>
    <n v="85000"/>
    <m/>
    <n v="85000"/>
    <m/>
    <m/>
    <m/>
    <s v="N/A"/>
  </r>
  <r>
    <m/>
    <x v="3"/>
    <m/>
    <s v="MF-FP.24735"/>
    <m/>
    <s v="MF-ST.22222"/>
    <m/>
    <d v="2026-04-27T00:00:00"/>
    <m/>
    <s v="Umum"/>
    <m/>
    <s v="C.13102"/>
    <m/>
    <s v="SIDIQ"/>
    <m/>
    <s v="WAHYU PRATAMA"/>
    <m/>
    <s v="SERVICE HANDPHONE"/>
    <m/>
    <x v="2"/>
    <m/>
    <s v="ARI MARWAN"/>
    <m/>
    <x v="0"/>
    <m/>
    <s v="WAHYU PRATAMA"/>
    <m/>
    <s v="FLEXIBEL CHARGER (PAPAN KONEKTOR)"/>
    <m/>
    <s v="SAMSUNG"/>
    <m/>
    <s v="M31"/>
    <m/>
    <s v="AKOR-014"/>
    <m/>
    <s v="ORAIMO CABLE TYPE-C 2A OCD-114C"/>
    <m/>
    <n v="15000"/>
    <m/>
    <n v="1"/>
    <m/>
    <n v="15000"/>
    <m/>
    <n v="15000"/>
    <m/>
    <m/>
    <m/>
    <s v="N/A"/>
  </r>
  <r>
    <m/>
    <x v="3"/>
    <m/>
    <s v="MF-FP.24736"/>
    <m/>
    <s v="MF-ST.22226"/>
    <m/>
    <d v="2026-04-27T00:00:00"/>
    <m/>
    <s v="Umum"/>
    <m/>
    <s v="C.10748"/>
    <m/>
    <s v="AMR BIN DINAR"/>
    <m/>
    <s v="WAHYU PRATAMA"/>
    <m/>
    <s v="SERVICE LAPTOP"/>
    <m/>
    <x v="0"/>
    <m/>
    <s v="ARIFIN SANTOSO JATIMULYA"/>
    <m/>
    <x v="6"/>
    <m/>
    <s v="WAHYU PRATAMA"/>
    <m/>
    <s v="MESIN"/>
    <m/>
    <s v="LENOVO"/>
    <m/>
    <s v="X250"/>
    <m/>
    <s v="JASA71"/>
    <m/>
    <s v="JASA REPAIR"/>
    <m/>
    <n v="0"/>
    <m/>
    <n v="1"/>
    <m/>
    <n v="650000"/>
    <m/>
    <n v="650000"/>
    <m/>
    <s v="TEGAR PUTRA YANSA SALES"/>
    <m/>
    <s v="N/A"/>
  </r>
  <r>
    <m/>
    <x v="3"/>
    <m/>
    <s v="MF-FP.24736"/>
    <m/>
    <s v="MF-ST.22226"/>
    <m/>
    <d v="2026-04-27T00:00:00"/>
    <m/>
    <s v="Umum"/>
    <m/>
    <s v="C.10748"/>
    <m/>
    <s v="AMR BIN DINAR"/>
    <m/>
    <s v="WAHYU PRATAMA"/>
    <m/>
    <s v="SERVICE LAPTOP"/>
    <m/>
    <x v="1"/>
    <m/>
    <s v="ARIFIN SANTOSO JATIMULYA"/>
    <m/>
    <x v="6"/>
    <m/>
    <s v="WAHYU PRATAMA"/>
    <m/>
    <s v="MESIN"/>
    <m/>
    <s v="LENOVO"/>
    <m/>
    <s v="X250"/>
    <m/>
    <s v="107194"/>
    <m/>
    <s v="MTBRD LPT LNV X240"/>
    <m/>
    <n v="713750"/>
    <m/>
    <n v="1"/>
    <m/>
    <n v="850000"/>
    <m/>
    <n v="850000"/>
    <m/>
    <s v="TEGAR PUTRA YANSA SALES"/>
    <m/>
    <s v="N/A"/>
  </r>
  <r>
    <m/>
    <x v="3"/>
    <m/>
    <s v="MF-FP.24738"/>
    <m/>
    <s v="MF-ST.22230"/>
    <m/>
    <d v="2026-04-27T00:00:00"/>
    <m/>
    <s v="Member Reguler"/>
    <m/>
    <s v="MJ0095"/>
    <m/>
    <s v="Rara"/>
    <m/>
    <s v="HANIF"/>
    <m/>
    <s v="SERVICE HANDPHONE"/>
    <m/>
    <x v="0"/>
    <m/>
    <s v="EKO RISDIYANTORO JATIMULYA"/>
    <m/>
    <x v="2"/>
    <m/>
    <s v="HANIF"/>
    <m/>
    <s v="REPAIR"/>
    <m/>
    <s v="REALME"/>
    <m/>
    <s v="realme 10"/>
    <m/>
    <s v="JASA71"/>
    <m/>
    <s v="JASA REPAIR"/>
    <m/>
    <n v="0"/>
    <m/>
    <n v="1"/>
    <m/>
    <n v="80000"/>
    <m/>
    <n v="80000"/>
    <m/>
    <s v="TEGAR PUTRA YANSA SALES"/>
    <m/>
    <s v="N/A"/>
  </r>
  <r>
    <m/>
    <x v="3"/>
    <m/>
    <s v="MF-FP.24738"/>
    <m/>
    <s v="MF-ST.22230"/>
    <m/>
    <d v="2026-04-27T00:00:00"/>
    <m/>
    <s v="Member Reguler"/>
    <m/>
    <s v="MJ0095"/>
    <m/>
    <s v="Rara"/>
    <m/>
    <s v="HANIF"/>
    <m/>
    <s v="SERVICE HANDPHONE"/>
    <m/>
    <x v="2"/>
    <m/>
    <s v="EKO RISDIYANTORO JATIMULYA"/>
    <m/>
    <x v="2"/>
    <m/>
    <s v="HANIF"/>
    <m/>
    <s v="REPAIR"/>
    <m/>
    <s v="REALME"/>
    <m/>
    <s v="realme 10"/>
    <m/>
    <s v="AKOR-014"/>
    <m/>
    <s v="ORAIMO CABLE TYPE-C 2A OCD-114C"/>
    <m/>
    <n v="15000"/>
    <m/>
    <n v="1"/>
    <m/>
    <n v="20000"/>
    <m/>
    <n v="20000"/>
    <m/>
    <s v="TEGAR PUTRA YANSA SALES"/>
    <m/>
    <s v="N/A"/>
  </r>
  <r>
    <m/>
    <x v="3"/>
    <m/>
    <s v="MF-FP.24742"/>
    <m/>
    <s v="MF-ST.22210"/>
    <m/>
    <d v="2026-04-26T00:00:00"/>
    <m/>
    <s v="Member Reguler"/>
    <m/>
    <s v="MJ0548"/>
    <m/>
    <s v="Vivi"/>
    <m/>
    <s v="HANIF"/>
    <m/>
    <s v="SERVICE HANDPHONE"/>
    <m/>
    <x v="0"/>
    <m/>
    <s v="ARI MARWAN"/>
    <m/>
    <x v="0"/>
    <m/>
    <s v="Achmad Indrawanto"/>
    <m/>
    <s v="LCD"/>
    <m/>
    <s v="VIVO"/>
    <m/>
    <s v="V40 LITE"/>
    <m/>
    <s v="JASA71"/>
    <m/>
    <s v="JASA REPAIR"/>
    <m/>
    <n v="0"/>
    <m/>
    <n v="1"/>
    <m/>
    <n v="225000"/>
    <m/>
    <n v="225000"/>
    <m/>
    <s v="Didi"/>
    <m/>
    <s v="N/A"/>
  </r>
  <r>
    <m/>
    <x v="3"/>
    <m/>
    <s v="MF-FP.24742"/>
    <m/>
    <s v="MF-ST.22210"/>
    <m/>
    <d v="2026-04-26T00:00:00"/>
    <m/>
    <s v="Member Reguler"/>
    <m/>
    <s v="MJ0548"/>
    <m/>
    <s v="Vivi"/>
    <m/>
    <s v="HANIF"/>
    <m/>
    <s v="SERVICE HANDPHONE"/>
    <m/>
    <x v="1"/>
    <m/>
    <s v="ARI MARWAN"/>
    <m/>
    <x v="0"/>
    <m/>
    <s v="Achmad Indrawanto"/>
    <m/>
    <s v="LCD"/>
    <m/>
    <s v="VIVO"/>
    <m/>
    <s v="V40 LITE"/>
    <m/>
    <s v="107085"/>
    <m/>
    <s v="LCD.. VIV V40 LITE / V29E / Y100 / Y200 B"/>
    <m/>
    <n v="170000"/>
    <m/>
    <n v="1"/>
    <m/>
    <n v="200000"/>
    <m/>
    <n v="200000"/>
    <m/>
    <s v="Didi"/>
    <m/>
    <s v="N/A"/>
  </r>
  <r>
    <m/>
    <x v="3"/>
    <m/>
    <s v="MF-FP.24742"/>
    <m/>
    <s v="MF-ST.22210"/>
    <m/>
    <d v="2026-04-26T00:00:00"/>
    <m/>
    <s v="Member Reguler"/>
    <m/>
    <s v="MJ0548"/>
    <m/>
    <s v="Vivi"/>
    <m/>
    <s v="HANIF"/>
    <m/>
    <s v="SERVICE HANDPHONE"/>
    <m/>
    <x v="2"/>
    <m/>
    <s v="ARI MARWAN"/>
    <m/>
    <x v="0"/>
    <m/>
    <s v="Achmad Indrawanto"/>
    <m/>
    <s v="LCD"/>
    <m/>
    <s v="VIVO"/>
    <m/>
    <s v="V40 LITE"/>
    <m/>
    <s v="100025"/>
    <m/>
    <s v="VIVAN HYDROGEL BASIC CRYSTAL CLEAR VSP01T"/>
    <m/>
    <n v="11151.582562"/>
    <m/>
    <n v="1"/>
    <m/>
    <n v="75000"/>
    <m/>
    <n v="75000"/>
    <m/>
    <s v="Didi"/>
    <m/>
    <s v="N/A"/>
  </r>
  <r>
    <m/>
    <x v="3"/>
    <m/>
    <s v="MF-FP.24739"/>
    <m/>
    <s v="MF-ST.22231"/>
    <m/>
    <d v="2026-04-27T00:00:00"/>
    <m/>
    <s v="Member Reguler"/>
    <m/>
    <s v="MJ0095"/>
    <m/>
    <s v="Rara"/>
    <m/>
    <s v="HANIF"/>
    <m/>
    <s v="SERVICE HANDPHONE"/>
    <m/>
    <x v="0"/>
    <m/>
    <s v="EKO RISDIYANTORO JATIMULYA"/>
    <m/>
    <x v="2"/>
    <m/>
    <s v="HANIF"/>
    <m/>
    <s v="BATERAI"/>
    <m/>
    <s v="OPPO"/>
    <m/>
    <s v="reno2f"/>
    <m/>
    <s v="JASA71"/>
    <m/>
    <s v="JASA REPAIR"/>
    <m/>
    <n v="0"/>
    <m/>
    <n v="1"/>
    <m/>
    <n v="315000"/>
    <m/>
    <n v="315000"/>
    <m/>
    <s v="TEGAR PUTRA YANSA SALES"/>
    <m/>
    <s v="N/A"/>
  </r>
  <r>
    <m/>
    <x v="3"/>
    <m/>
    <s v="MF-FP.24739"/>
    <m/>
    <s v="MF-ST.22231"/>
    <m/>
    <d v="2026-04-27T00:00:00"/>
    <m/>
    <s v="Member Reguler"/>
    <m/>
    <s v="MJ0095"/>
    <m/>
    <s v="Rara"/>
    <m/>
    <s v="HANIF"/>
    <m/>
    <s v="SERVICE HANDPHONE"/>
    <m/>
    <x v="1"/>
    <m/>
    <s v="EKO RISDIYANTORO JATIMULYA"/>
    <m/>
    <x v="2"/>
    <m/>
    <s v="HANIF"/>
    <m/>
    <s v="BATERAI"/>
    <m/>
    <s v="OPPO"/>
    <m/>
    <s v="reno2f"/>
    <m/>
    <s v="102561"/>
    <m/>
    <s v="BATER OPP RENO 2F BLP737"/>
    <m/>
    <n v="93000"/>
    <m/>
    <n v="1"/>
    <m/>
    <n v="140000"/>
    <m/>
    <n v="140000"/>
    <m/>
    <s v="TEGAR PUTRA YANSA SALES"/>
    <m/>
    <s v="N/A"/>
  </r>
  <r>
    <m/>
    <x v="3"/>
    <m/>
    <s v="MF-FP.24739"/>
    <m/>
    <s v="MF-ST.22231"/>
    <m/>
    <d v="2026-04-27T00:00:00"/>
    <m/>
    <s v="Member Reguler"/>
    <m/>
    <s v="MJ0095"/>
    <m/>
    <s v="Rara"/>
    <m/>
    <s v="HANIF"/>
    <m/>
    <s v="SERVICE HANDPHONE"/>
    <m/>
    <x v="2"/>
    <m/>
    <s v="EKO RISDIYANTORO JATIMULYA"/>
    <m/>
    <x v="2"/>
    <m/>
    <s v="HANIF"/>
    <m/>
    <s v="BATERAI"/>
    <m/>
    <s v="OPPO"/>
    <m/>
    <s v="reno2f"/>
    <m/>
    <s v="AKOR-014"/>
    <m/>
    <s v="ORAIMO CABLE TYPE-C 2A OCD-114C"/>
    <m/>
    <n v="15000"/>
    <m/>
    <n v="1"/>
    <m/>
    <n v="20000"/>
    <m/>
    <n v="20000"/>
    <m/>
    <s v="TEGAR PUTRA YANSA SALES"/>
    <m/>
    <s v="N/A"/>
  </r>
  <r>
    <m/>
    <x v="3"/>
    <m/>
    <s v="MF-FP.24743"/>
    <m/>
    <s v="MF-ST.22235"/>
    <m/>
    <d v="2026-04-27T00:00:00"/>
    <m/>
    <s v="Member Reguler"/>
    <m/>
    <s v="MJ1343"/>
    <m/>
    <s v="Bu raisa"/>
    <m/>
    <s v="HANIF"/>
    <m/>
    <s v="SERVICE HANDPHONE"/>
    <m/>
    <x v="0"/>
    <m/>
    <s v="EKO RISDIYANTORO JATIMULYA"/>
    <m/>
    <x v="2"/>
    <m/>
    <s v="HANIF"/>
    <m/>
    <s v="BATERAI"/>
    <m/>
    <s v="XIAOMI"/>
    <m/>
    <s v="poco f1"/>
    <m/>
    <s v="JASA71"/>
    <m/>
    <s v="JASA REPAIR"/>
    <m/>
    <n v="0"/>
    <m/>
    <n v="1"/>
    <m/>
    <n v="255000"/>
    <m/>
    <n v="255000"/>
    <m/>
    <m/>
    <m/>
    <s v="N/A"/>
  </r>
  <r>
    <m/>
    <x v="3"/>
    <m/>
    <s v="MF-FP.24740"/>
    <m/>
    <s v="MF-ST.22232"/>
    <m/>
    <d v="2026-04-27T00:00:00"/>
    <m/>
    <s v="Member Reguler"/>
    <m/>
    <s v="MJ0095"/>
    <m/>
    <s v="Rara"/>
    <m/>
    <s v="HANIF"/>
    <m/>
    <s v="PENJUALAN AKSESORIS"/>
    <m/>
    <x v="2"/>
    <m/>
    <s v="N/A"/>
    <m/>
    <x v="5"/>
    <m/>
    <s v="Achmad Indrawanto"/>
    <m/>
    <s v="REPAIR"/>
    <m/>
    <s v="BELUM ADA MERK"/>
    <m/>
    <s v="N/A"/>
    <m/>
    <s v="100025"/>
    <m/>
    <s v="VIVAN HYDROGEL BASIC CRYSTAL CLEAR VSP01T"/>
    <m/>
    <n v="22303.165123999999"/>
    <m/>
    <n v="2"/>
    <m/>
    <n v="75000"/>
    <m/>
    <n v="150000"/>
    <m/>
    <s v="TEGAR PUTRA YANSA SALES"/>
    <m/>
    <s v="N/A"/>
  </r>
  <r>
    <m/>
    <x v="3"/>
    <m/>
    <s v="MF-FP.24740"/>
    <m/>
    <s v="MF-ST.22232"/>
    <m/>
    <d v="2026-04-27T00:00:00"/>
    <m/>
    <s v="Member Reguler"/>
    <m/>
    <s v="MJ0095"/>
    <m/>
    <s v="Rara"/>
    <m/>
    <s v="HANIF"/>
    <m/>
    <s v="PENJUALAN AKSESORIS"/>
    <m/>
    <x v="2"/>
    <m/>
    <s v="N/A"/>
    <m/>
    <x v="5"/>
    <m/>
    <s v="Achmad Indrawanto"/>
    <m/>
    <s v="REPAIR"/>
    <m/>
    <s v="BELUM ADA MERK"/>
    <m/>
    <s v="N/A"/>
    <m/>
    <s v="106999"/>
    <m/>
    <s v="VIVAN VSP04T-2 PRO PRIVACY &amp; CRYSTAL CLEAR"/>
    <m/>
    <n v="71400"/>
    <m/>
    <n v="2"/>
    <m/>
    <n v="120000"/>
    <m/>
    <n v="240000"/>
    <m/>
    <s v="TEGAR PUTRA YANSA SALES"/>
    <m/>
    <s v="N/A"/>
  </r>
  <r>
    <m/>
    <x v="3"/>
    <m/>
    <s v="MF-FP.24745"/>
    <m/>
    <s v="MF-ST.22242"/>
    <m/>
    <d v="2026-04-27T00:00:00"/>
    <m/>
    <s v="Umum"/>
    <m/>
    <s v="C.07446"/>
    <m/>
    <s v="PAK ZAM ZAM IBRAHIM"/>
    <m/>
    <s v="Achmad Indrawanto"/>
    <m/>
    <s v="SERVICE HANDPHONE"/>
    <m/>
    <x v="0"/>
    <m/>
    <s v="EKO RISDIYANTORO JATIMULYA"/>
    <m/>
    <x v="2"/>
    <m/>
    <s v="Achmad Indrawanto"/>
    <m/>
    <s v="FLEXIBEL CHARGER (PAPAN KONEKTOR)"/>
    <m/>
    <s v="VIVO"/>
    <m/>
    <s v="Vivo y91"/>
    <m/>
    <s v="JASA71"/>
    <m/>
    <s v="JASA REPAIR"/>
    <m/>
    <n v="0"/>
    <m/>
    <n v="1"/>
    <m/>
    <n v="157000"/>
    <m/>
    <n v="157000"/>
    <m/>
    <m/>
    <m/>
    <s v="N/A"/>
  </r>
  <r>
    <m/>
    <x v="3"/>
    <m/>
    <s v="MF-FP.24745"/>
    <m/>
    <s v="MF-ST.22242"/>
    <m/>
    <d v="2026-04-27T00:00:00"/>
    <m/>
    <s v="Umum"/>
    <m/>
    <s v="C.07446"/>
    <m/>
    <s v="PAK ZAM ZAM IBRAHIM"/>
    <m/>
    <s v="Achmad Indrawanto"/>
    <m/>
    <s v="SERVICE HANDPHONE"/>
    <m/>
    <x v="1"/>
    <m/>
    <s v="EKO RISDIYANTORO JATIMULYA"/>
    <m/>
    <x v="2"/>
    <m/>
    <s v="Achmad Indrawanto"/>
    <m/>
    <s v="FLEXIBEL CHARGER (PAPAN KONEKTOR)"/>
    <m/>
    <s v="VIVO"/>
    <m/>
    <s v="Vivo y91"/>
    <m/>
    <s v="100199"/>
    <m/>
    <s v="FLCRG VIV Y91 Y93 Y95 FST"/>
    <m/>
    <n v="12600"/>
    <m/>
    <n v="1"/>
    <m/>
    <n v="18000"/>
    <m/>
    <n v="18000"/>
    <m/>
    <m/>
    <m/>
    <s v="N/A"/>
  </r>
  <r>
    <m/>
    <x v="3"/>
    <m/>
    <s v="MF-FP.24750"/>
    <m/>
    <s v="MF-ST.22246"/>
    <m/>
    <d v="2026-04-27T00:00:00"/>
    <m/>
    <s v="Umum"/>
    <m/>
    <s v="C.13108"/>
    <m/>
    <s v="LINDA"/>
    <m/>
    <s v="HANIF"/>
    <m/>
    <s v="SERVICE HANDPHONE"/>
    <m/>
    <x v="0"/>
    <m/>
    <s v="MUSTOFA"/>
    <m/>
    <x v="1"/>
    <m/>
    <s v="HANIF"/>
    <m/>
    <s v="LCD"/>
    <m/>
    <s v="OPPO"/>
    <m/>
    <s v="Oppo A12"/>
    <m/>
    <s v="JASA71"/>
    <m/>
    <s v="JASA REPAIR"/>
    <m/>
    <n v="0"/>
    <m/>
    <n v="1"/>
    <m/>
    <n v="205000"/>
    <m/>
    <n v="205000"/>
    <m/>
    <m/>
    <m/>
    <s v="N/A"/>
  </r>
  <r>
    <m/>
    <x v="3"/>
    <m/>
    <s v="MF-FP.24750"/>
    <m/>
    <s v="MF-ST.22246"/>
    <m/>
    <d v="2026-04-27T00:00:00"/>
    <m/>
    <s v="Umum"/>
    <m/>
    <s v="C.13108"/>
    <m/>
    <s v="LINDA"/>
    <m/>
    <s v="HANIF"/>
    <m/>
    <s v="SERVICE HANDPHONE"/>
    <m/>
    <x v="1"/>
    <m/>
    <s v="MUSTOFA"/>
    <m/>
    <x v="1"/>
    <m/>
    <s v="HANIF"/>
    <m/>
    <s v="LCD"/>
    <m/>
    <s v="OPPO"/>
    <m/>
    <s v="Oppo A12"/>
    <m/>
    <s v="100108"/>
    <m/>
    <s v="LCD.. OPP A5s/A7/A12/A11K RLM 3 B FST"/>
    <m/>
    <n v="125874.26571000001"/>
    <m/>
    <n v="1"/>
    <m/>
    <n v="195000"/>
    <m/>
    <n v="195000"/>
    <m/>
    <m/>
    <m/>
    <s v="N/A"/>
  </r>
  <r>
    <m/>
    <x v="3"/>
    <m/>
    <s v="MF-FP.24750"/>
    <m/>
    <s v="MF-ST.22246"/>
    <m/>
    <d v="2026-04-27T00:00:00"/>
    <m/>
    <s v="Umum"/>
    <m/>
    <s v="C.13108"/>
    <m/>
    <s v="LINDA"/>
    <m/>
    <s v="HANIF"/>
    <m/>
    <s v="SERVICE HANDPHONE"/>
    <m/>
    <x v="2"/>
    <m/>
    <s v="MUSTOFA"/>
    <m/>
    <x v="1"/>
    <m/>
    <s v="HANIF"/>
    <m/>
    <s v="LCD"/>
    <m/>
    <s v="OPPO"/>
    <m/>
    <s v="Oppo A12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3"/>
    <m/>
    <s v="MF-FP.24751"/>
    <m/>
    <s v="MF-ST.22202"/>
    <m/>
    <d v="2026-04-26T00:00:00"/>
    <m/>
    <s v="Umum"/>
    <m/>
    <s v="C.13096"/>
    <m/>
    <s v="AJENG"/>
    <m/>
    <s v="WAHYU PRATAMA"/>
    <m/>
    <s v="SERVICE HANDPHONE"/>
    <m/>
    <x v="0"/>
    <m/>
    <s v="YUVI NOFERIANTO"/>
    <m/>
    <x v="4"/>
    <m/>
    <s v="HANIF"/>
    <m/>
    <s v="LCD"/>
    <m/>
    <s v="XIAOMI"/>
    <m/>
    <s v="NOTE 13 PRO 5G"/>
    <m/>
    <s v="JASA71"/>
    <m/>
    <s v="JASA REPAIR"/>
    <m/>
    <n v="0"/>
    <m/>
    <n v="1"/>
    <m/>
    <n v="200000"/>
    <m/>
    <n v="200000"/>
    <m/>
    <m/>
    <m/>
    <s v="N/A"/>
  </r>
  <r>
    <m/>
    <x v="3"/>
    <m/>
    <s v="MF-FP.24751"/>
    <m/>
    <s v="MF-ST.22202"/>
    <m/>
    <d v="2026-04-26T00:00:00"/>
    <m/>
    <s v="Umum"/>
    <m/>
    <s v="C.13096"/>
    <m/>
    <s v="AJENG"/>
    <m/>
    <s v="WAHYU PRATAMA"/>
    <m/>
    <s v="SERVICE HANDPHONE"/>
    <m/>
    <x v="1"/>
    <m/>
    <s v="YUVI NOFERIANTO"/>
    <m/>
    <x v="4"/>
    <m/>
    <s v="HANIF"/>
    <m/>
    <s v="LCD"/>
    <m/>
    <s v="XIAOMI"/>
    <m/>
    <s v="NOTE 13 PRO 5G"/>
    <m/>
    <s v="105702"/>
    <m/>
    <s v="LCD.. XIO REDMI NOTE 13 PRO 5G/POCO X6 5G/POCO X6 PRO 5G B"/>
    <m/>
    <n v="163750"/>
    <m/>
    <n v="1"/>
    <m/>
    <n v="230000"/>
    <m/>
    <n v="230000"/>
    <m/>
    <m/>
    <m/>
    <s v="N/A"/>
  </r>
  <r>
    <m/>
    <x v="3"/>
    <m/>
    <s v="MF-FP.24751"/>
    <m/>
    <s v="MF-ST.22202"/>
    <m/>
    <d v="2026-04-26T00:00:00"/>
    <m/>
    <s v="Umum"/>
    <m/>
    <s v="C.13096"/>
    <m/>
    <s v="AJENG"/>
    <m/>
    <s v="WAHYU PRATAMA"/>
    <m/>
    <s v="SERVICE HANDPHONE"/>
    <m/>
    <x v="2"/>
    <m/>
    <s v="YUVI NOFERIANTO"/>
    <m/>
    <x v="4"/>
    <m/>
    <s v="HANIF"/>
    <m/>
    <s v="LCD"/>
    <m/>
    <s v="XIAOMI"/>
    <m/>
    <s v="NOTE 13 PRO 5G"/>
    <m/>
    <s v="AKOR-014"/>
    <m/>
    <s v="ORAIMO CABLE TYPE-C 2A OCD-114C"/>
    <m/>
    <n v="15000"/>
    <m/>
    <n v="1"/>
    <m/>
    <n v="20000"/>
    <m/>
    <n v="20000"/>
    <m/>
    <m/>
    <m/>
    <s v="N/A"/>
  </r>
  <r>
    <m/>
    <x v="3"/>
    <m/>
    <s v="MF-FP.24745"/>
    <m/>
    <s v="MF-ST.22242"/>
    <m/>
    <d v="2026-04-27T00:00:00"/>
    <m/>
    <s v="Umum"/>
    <m/>
    <s v="C.07446"/>
    <m/>
    <s v="PAK ZAM ZAM IBRAHIM"/>
    <m/>
    <s v="Achmad Indrawanto"/>
    <m/>
    <s v="SERVICE HANDPHONE"/>
    <m/>
    <x v="2"/>
    <m/>
    <s v="EKO RISDIYANTORO JATIMULYA"/>
    <m/>
    <x v="2"/>
    <m/>
    <s v="Achmad Indrawanto"/>
    <m/>
    <s v="FLEXIBEL CHARGER (PAPAN KONEKTOR)"/>
    <m/>
    <s v="VIVO"/>
    <m/>
    <s v="Vivo y91"/>
    <m/>
    <s v="AKOR-014"/>
    <m/>
    <s v="ORAIMO CABLE TYPE-C 2A OCD-114C"/>
    <m/>
    <n v="15000"/>
    <m/>
    <n v="1"/>
    <m/>
    <n v="25000"/>
    <m/>
    <n v="25000"/>
    <m/>
    <m/>
    <m/>
    <s v="N/A"/>
  </r>
  <r>
    <m/>
    <x v="3"/>
    <m/>
    <s v="MF-FP.24743"/>
    <m/>
    <s v="MF-ST.22235"/>
    <m/>
    <d v="2026-04-27T00:00:00"/>
    <m/>
    <s v="Member Reguler"/>
    <m/>
    <s v="MJ1343"/>
    <m/>
    <s v="Bu raisa"/>
    <m/>
    <s v="HANIF"/>
    <m/>
    <s v="SERVICE HANDPHONE"/>
    <m/>
    <x v="1"/>
    <m/>
    <s v="EKO RISDIYANTORO JATIMULYA"/>
    <m/>
    <x v="2"/>
    <m/>
    <s v="HANIF"/>
    <m/>
    <s v="BATERAI"/>
    <m/>
    <s v="XIAOMI"/>
    <m/>
    <s v="poco f1"/>
    <m/>
    <s v="100317"/>
    <m/>
    <s v="BATER XIO POCO F1 BM4E"/>
    <m/>
    <n v="96095.629256999993"/>
    <m/>
    <n v="1"/>
    <m/>
    <n v="130000"/>
    <m/>
    <n v="130000"/>
    <m/>
    <m/>
    <m/>
    <s v="N/A"/>
  </r>
  <r>
    <m/>
    <x v="3"/>
    <m/>
    <s v="MF-FP.24743"/>
    <m/>
    <s v="MF-ST.22235"/>
    <m/>
    <d v="2026-04-27T00:00:00"/>
    <m/>
    <s v="Member Reguler"/>
    <m/>
    <s v="MJ1343"/>
    <m/>
    <s v="Bu raisa"/>
    <m/>
    <s v="HANIF"/>
    <m/>
    <s v="SERVICE HANDPHONE"/>
    <m/>
    <x v="1"/>
    <m/>
    <s v="EKO RISDIYANTORO JATIMULYA"/>
    <m/>
    <x v="2"/>
    <m/>
    <s v="HANIF"/>
    <m/>
    <s v="BATERAI"/>
    <m/>
    <s v="XIAOMI"/>
    <m/>
    <s v="poco f1"/>
    <m/>
    <s v="101585"/>
    <m/>
    <s v="PERNIK TBL O/F + VLM XIO POCO F1 B"/>
    <m/>
    <n v="4000"/>
    <m/>
    <n v="1"/>
    <m/>
    <n v="20000"/>
    <m/>
    <n v="20000"/>
    <m/>
    <m/>
    <m/>
    <s v="N/A"/>
  </r>
  <r>
    <m/>
    <x v="3"/>
    <m/>
    <s v="MF-FP.24743"/>
    <m/>
    <s v="MF-ST.22235"/>
    <m/>
    <d v="2026-04-27T00:00:00"/>
    <m/>
    <s v="Member Reguler"/>
    <m/>
    <s v="MJ1343"/>
    <m/>
    <s v="Bu raisa"/>
    <m/>
    <s v="HANIF"/>
    <m/>
    <s v="SERVICE HANDPHONE"/>
    <m/>
    <x v="2"/>
    <m/>
    <s v="EKO RISDIYANTORO JATIMULYA"/>
    <m/>
    <x v="2"/>
    <m/>
    <s v="HANIF"/>
    <m/>
    <s v="BATERAI"/>
    <m/>
    <s v="XIAOMI"/>
    <m/>
    <s v="poco f1"/>
    <m/>
    <s v="AKOR-014"/>
    <m/>
    <s v="ORAIMO CABLE TYPE-C 2A OCD-114C"/>
    <m/>
    <n v="15000"/>
    <m/>
    <n v="1"/>
    <m/>
    <n v="20000"/>
    <m/>
    <n v="20000"/>
    <m/>
    <m/>
    <m/>
    <s v="N/A"/>
  </r>
  <r>
    <m/>
    <x v="3"/>
    <m/>
    <s v="MF-FP.24746"/>
    <m/>
    <s v="MF-ST.22241"/>
    <m/>
    <d v="2026-04-27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5447"/>
    <m/>
    <s v="BROOKLYN TPGS. IPH 15 PRO MAX SPY/PRIVACY"/>
    <m/>
    <n v="81900"/>
    <m/>
    <n v="1"/>
    <m/>
    <n v="150000"/>
    <m/>
    <n v="150000"/>
    <m/>
    <m/>
    <m/>
    <s v="N/A"/>
  </r>
  <r>
    <m/>
    <x v="3"/>
    <m/>
    <s v="MF-FP.24747"/>
    <m/>
    <s v="MF-ST.22243"/>
    <m/>
    <d v="2026-04-27T00:00:00"/>
    <m/>
    <s v="Umum"/>
    <m/>
    <s v="C.13107"/>
    <m/>
    <s v="IKBAL"/>
    <m/>
    <s v="HANIF"/>
    <m/>
    <s v="SERVICE LAPTOP"/>
    <m/>
    <x v="0"/>
    <m/>
    <s v="ARIFIN SANTOSO JATIMULYA"/>
    <m/>
    <x v="6"/>
    <m/>
    <s v="HANIF"/>
    <m/>
    <s v="HARDWARE"/>
    <m/>
    <s v="ASUS"/>
    <m/>
    <s v="Asus a455l"/>
    <m/>
    <s v="JASA71"/>
    <m/>
    <s v="JASA REPAIR"/>
    <m/>
    <n v="0"/>
    <m/>
    <n v="1"/>
    <m/>
    <n v="80000"/>
    <m/>
    <n v="80000"/>
    <m/>
    <m/>
    <m/>
    <s v="N/A"/>
  </r>
  <r>
    <m/>
    <x v="3"/>
    <m/>
    <s v="MF-FP.24218 - OV1"/>
    <m/>
    <s v="MF-ST.22234"/>
    <m/>
    <d v="2026-04-27T00:00:00"/>
    <m/>
    <s v="Member Reguler"/>
    <m/>
    <s v="C.08947"/>
    <m/>
    <s v="RASYID"/>
    <m/>
    <s v="Achmad Indrawanto"/>
    <m/>
    <s v="SERVICE HANDPHONE"/>
    <m/>
    <x v="1"/>
    <m/>
    <s v="YUVI NOFERIANTO"/>
    <m/>
    <x v="4"/>
    <m/>
    <s v="Achmad Indrawanto"/>
    <m/>
    <s v="LCD"/>
    <m/>
    <s v="VIVO"/>
    <m/>
    <s v="Y16"/>
    <m/>
    <s v="100172"/>
    <m/>
    <s v="LCD.. VIV Y21/Y21s/Y21a/Y16/Y02s B"/>
    <m/>
    <n v="122500"/>
    <m/>
    <n v="1"/>
    <m/>
    <n v="187650"/>
    <m/>
    <n v="187650"/>
    <m/>
    <s v="Achmad Indrawanto"/>
    <m/>
    <s v="N/A"/>
  </r>
  <r>
    <m/>
    <x v="3"/>
    <m/>
    <s v="MF-FP.24747"/>
    <m/>
    <s v="MF-ST.22243"/>
    <m/>
    <d v="2026-04-27T00:00:00"/>
    <m/>
    <s v="Umum"/>
    <m/>
    <s v="C.13107"/>
    <m/>
    <s v="IKBAL"/>
    <m/>
    <s v="HANIF"/>
    <m/>
    <s v="SERVICE LAPTOP"/>
    <m/>
    <x v="2"/>
    <m/>
    <s v="ARIFIN SANTOSO JATIMULYA"/>
    <m/>
    <x v="6"/>
    <m/>
    <s v="HANIF"/>
    <m/>
    <s v="HARDWARE"/>
    <m/>
    <s v="ASUS"/>
    <m/>
    <s v="Asus a455l"/>
    <m/>
    <s v="AKOR-014"/>
    <m/>
    <s v="ORAIMO CABLE TYPE-C 2A OCD-114C"/>
    <m/>
    <n v="15000"/>
    <m/>
    <n v="1"/>
    <m/>
    <n v="20000"/>
    <m/>
    <n v="20000"/>
    <m/>
    <m/>
    <m/>
    <s v="N/A"/>
  </r>
  <r>
    <m/>
    <x v="3"/>
    <m/>
    <s v="MF-FP.24744"/>
    <m/>
    <s v="MF-ST.22237"/>
    <m/>
    <d v="2026-04-27T00:00:00"/>
    <m/>
    <s v="Member Reguler"/>
    <m/>
    <s v="C.13065"/>
    <m/>
    <s v="ASRI"/>
    <m/>
    <s v="HANIF"/>
    <m/>
    <s v="PENJUALAN AKSESORIS"/>
    <m/>
    <x v="1"/>
    <m/>
    <s v="N/A"/>
    <m/>
    <x v="5"/>
    <m/>
    <s v="HANIF"/>
    <m/>
    <s v="N/A"/>
    <m/>
    <s v="BELUM ADA MERK"/>
    <m/>
    <s v="N/A"/>
    <m/>
    <s v="103626"/>
    <m/>
    <s v="ADPTR LPT ASS 19V 3.42A 4.0"/>
    <m/>
    <n v="83529.405700000003"/>
    <m/>
    <n v="1"/>
    <m/>
    <n v="100000"/>
    <m/>
    <n v="100000"/>
    <m/>
    <s v="Achmad Indrawanto"/>
    <m/>
    <s v="N/A"/>
  </r>
  <r>
    <m/>
    <x v="3"/>
    <m/>
    <s v="MF-FP.24748"/>
    <m/>
    <s v="MF-ST.22245"/>
    <m/>
    <d v="2026-04-27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6963"/>
    <m/>
    <s v="EAGET ENCLOSURE E15"/>
    <m/>
    <n v="46428.571429000003"/>
    <m/>
    <n v="1"/>
    <m/>
    <n v="150000"/>
    <m/>
    <n v="150000"/>
    <m/>
    <m/>
    <m/>
    <s v="N/A"/>
  </r>
  <r>
    <m/>
    <x v="3"/>
    <m/>
    <s v="MF-FP.24749"/>
    <m/>
    <s v="MF-ST.22088"/>
    <m/>
    <d v="2026-04-21T00:00:00"/>
    <m/>
    <s v="Umum"/>
    <m/>
    <s v="C.13046"/>
    <m/>
    <s v="IBU ENDAH"/>
    <m/>
    <s v="HANIF"/>
    <m/>
    <s v="SERVICE LAPTOP"/>
    <m/>
    <x v="0"/>
    <m/>
    <s v="ABDUL MUNAJAT"/>
    <m/>
    <x v="3"/>
    <m/>
    <s v="HANIF"/>
    <m/>
    <s v="SSD"/>
    <m/>
    <s v="LENOVO"/>
    <m/>
    <s v="Lenovo S210"/>
    <m/>
    <s v="JASA71"/>
    <m/>
    <s v="JASA REPAIR"/>
    <m/>
    <n v="0"/>
    <m/>
    <n v="1"/>
    <m/>
    <n v="350000"/>
    <m/>
    <n v="350000"/>
    <m/>
    <m/>
    <m/>
    <s v="N/A"/>
  </r>
  <r>
    <m/>
    <x v="3"/>
    <m/>
    <s v="MF-FP.24749"/>
    <m/>
    <s v="MF-ST.22088"/>
    <m/>
    <d v="2026-04-21T00:00:00"/>
    <m/>
    <s v="Umum"/>
    <m/>
    <s v="C.13046"/>
    <m/>
    <s v="IBU ENDAH"/>
    <m/>
    <s v="HANIF"/>
    <m/>
    <s v="SERVICE LAPTOP"/>
    <m/>
    <x v="1"/>
    <m/>
    <s v="ABDUL MUNAJAT"/>
    <m/>
    <x v="3"/>
    <m/>
    <s v="HANIF"/>
    <m/>
    <s v="SSD"/>
    <m/>
    <s v="LENOVO"/>
    <m/>
    <s v="Lenovo S210"/>
    <m/>
    <s v="105640"/>
    <m/>
    <s v="VGEN SSD SATA III PLATINUM 128GB"/>
    <m/>
    <n v="432416.93722899997"/>
    <m/>
    <n v="1"/>
    <m/>
    <n v="580000"/>
    <m/>
    <n v="580000"/>
    <m/>
    <m/>
    <m/>
    <s v="N/A"/>
  </r>
  <r>
    <m/>
    <x v="3"/>
    <m/>
    <s v="MF-FP.24749"/>
    <m/>
    <s v="MF-ST.22088"/>
    <m/>
    <d v="2026-04-21T00:00:00"/>
    <m/>
    <s v="Umum"/>
    <m/>
    <s v="C.13046"/>
    <m/>
    <s v="IBU ENDAH"/>
    <m/>
    <s v="HANIF"/>
    <m/>
    <s v="SERVICE LAPTOP"/>
    <m/>
    <x v="2"/>
    <m/>
    <s v="ABDUL MUNAJAT"/>
    <m/>
    <x v="3"/>
    <m/>
    <s v="HANIF"/>
    <m/>
    <s v="SSD"/>
    <m/>
    <s v="LENOVO"/>
    <m/>
    <s v="Lenovo S210"/>
    <m/>
    <s v="AKOR-014"/>
    <m/>
    <s v="ORAIMO CABLE TYPE-C 2A OCD-114C"/>
    <m/>
    <n v="15000"/>
    <m/>
    <n v="1"/>
    <m/>
    <n v="20000"/>
    <m/>
    <n v="20000"/>
    <m/>
    <m/>
    <m/>
    <s v="N/A"/>
  </r>
  <r>
    <m/>
    <x v="3"/>
    <m/>
    <s v="MF-FP.24752"/>
    <m/>
    <s v="MF-ST.22238"/>
    <m/>
    <d v="2026-04-27T00:00:00"/>
    <m/>
    <s v="Member Reguler"/>
    <m/>
    <s v="MJ1392"/>
    <m/>
    <s v="Lutfi"/>
    <m/>
    <s v="HANIF"/>
    <m/>
    <s v="SERVICE HANDPHONE"/>
    <m/>
    <x v="0"/>
    <m/>
    <s v="EKO RISDIYANTORO JATIMULYA"/>
    <m/>
    <x v="2"/>
    <m/>
    <s v="Achmad Indrawanto"/>
    <m/>
    <s v="REPAIR"/>
    <m/>
    <s v="OPPO"/>
    <m/>
    <s v="oppo a57 2020"/>
    <m/>
    <s v="JASA71"/>
    <m/>
    <s v="JASA REPAIR"/>
    <m/>
    <n v="0"/>
    <m/>
    <n v="1"/>
    <m/>
    <n v="125000"/>
    <m/>
    <n v="110000"/>
    <m/>
    <s v="TEGAR PUTRA YANSA SALES"/>
    <m/>
    <s v="N/A"/>
  </r>
  <r>
    <m/>
    <x v="3"/>
    <m/>
    <s v="MF-FP.24752"/>
    <m/>
    <s v="MF-ST.22238"/>
    <m/>
    <d v="2026-04-27T00:00:00"/>
    <m/>
    <s v="Member Reguler"/>
    <m/>
    <s v="MJ1392"/>
    <m/>
    <s v="Lutfi"/>
    <m/>
    <s v="HANIF"/>
    <m/>
    <s v="SERVICE HANDPHONE"/>
    <m/>
    <x v="2"/>
    <m/>
    <s v="EKO RISDIYANTORO JATIMULYA"/>
    <m/>
    <x v="2"/>
    <m/>
    <s v="Achmad Indrawanto"/>
    <m/>
    <s v="REPAIR"/>
    <m/>
    <s v="OPPO"/>
    <m/>
    <s v="oppo a57 2020"/>
    <m/>
    <s v="100025"/>
    <m/>
    <s v="VIVAN HYDROGEL BASIC CRYSTAL CLEAR VSP01T"/>
    <m/>
    <n v="11151.582562"/>
    <m/>
    <n v="1"/>
    <m/>
    <n v="75000"/>
    <m/>
    <n v="75000"/>
    <m/>
    <s v="TEGAR PUTRA YANSA SALES"/>
    <m/>
    <s v="N/A"/>
  </r>
  <r>
    <m/>
    <x v="3"/>
    <m/>
    <s v="MF-FP.24755"/>
    <m/>
    <s v="MF-ST.22251"/>
    <m/>
    <d v="2026-04-27T00:00:00"/>
    <m/>
    <s v="Umum"/>
    <m/>
    <s v="C.00000"/>
    <m/>
    <s v="Pelanggan Umum"/>
    <m/>
    <s v="HANIF"/>
    <m/>
    <s v="SERVICE HANDPHONE"/>
    <m/>
    <x v="0"/>
    <m/>
    <s v="YUVI NOFERIANTO"/>
    <m/>
    <x v="4"/>
    <m/>
    <s v="HANIF"/>
    <m/>
    <s v="REPAIR"/>
    <m/>
    <s v="BELUM ADA MERK"/>
    <m/>
    <s v="N/A"/>
    <m/>
    <s v="JASA71"/>
    <m/>
    <s v="JASA REPAIR"/>
    <m/>
    <n v="0"/>
    <m/>
    <n v="1"/>
    <m/>
    <n v="35000"/>
    <m/>
    <n v="35000"/>
    <m/>
    <m/>
    <m/>
    <s v="N/A"/>
  </r>
  <r>
    <m/>
    <x v="3"/>
    <m/>
    <s v="MF-FP.24753"/>
    <m/>
    <s v="MF-ST.22250"/>
    <m/>
    <d v="2026-04-27T00:00:00"/>
    <m/>
    <s v="Umum"/>
    <m/>
    <s v="C.11445"/>
    <m/>
    <s v="MAHBUB"/>
    <m/>
    <s v="HANIF"/>
    <m/>
    <s v="SERVICE HANDPHONE"/>
    <m/>
    <x v="0"/>
    <m/>
    <s v="EKO RISDIYANTORO JATIMULYA"/>
    <m/>
    <x v="1"/>
    <m/>
    <s v="HANIF"/>
    <m/>
    <s v="REPAIR"/>
    <m/>
    <s v="XIAOMI"/>
    <m/>
    <s v="Redmi 8A"/>
    <m/>
    <s v="JASA71"/>
    <m/>
    <s v="JASA REPAIR"/>
    <m/>
    <n v="0"/>
    <m/>
    <n v="1"/>
    <m/>
    <n v="130000"/>
    <m/>
    <n v="130000"/>
    <m/>
    <m/>
    <m/>
    <s v="N/A"/>
  </r>
  <r>
    <m/>
    <x v="3"/>
    <m/>
    <s v="MF-FP.24753"/>
    <m/>
    <s v="MF-ST.22250"/>
    <m/>
    <d v="2026-04-27T00:00:00"/>
    <m/>
    <s v="Umum"/>
    <m/>
    <s v="C.11445"/>
    <m/>
    <s v="MAHBUB"/>
    <m/>
    <s v="HANIF"/>
    <m/>
    <s v="SERVICE HANDPHONE"/>
    <m/>
    <x v="2"/>
    <m/>
    <s v="EKO RISDIYANTORO JATIMULYA"/>
    <m/>
    <x v="1"/>
    <m/>
    <s v="HANIF"/>
    <m/>
    <s v="REPAIR"/>
    <m/>
    <s v="XIAOMI"/>
    <m/>
    <s v="Redmi 8A"/>
    <m/>
    <s v="AKOR-014"/>
    <m/>
    <s v="ORAIMO CABLE TYPE-C 2A OCD-114C"/>
    <m/>
    <n v="15000"/>
    <m/>
    <n v="1"/>
    <m/>
    <n v="20000"/>
    <m/>
    <n v="20000"/>
    <m/>
    <m/>
    <m/>
    <s v="N/A"/>
  </r>
  <r>
    <m/>
    <x v="3"/>
    <m/>
    <s v="MF-FP.24754"/>
    <m/>
    <s v="MF-ST.22248"/>
    <m/>
    <d v="2026-04-27T00:00:00"/>
    <m/>
    <s v="Umum"/>
    <m/>
    <s v="C.11253"/>
    <m/>
    <s v="IWAN"/>
    <m/>
    <s v="Achmad Indrawanto"/>
    <m/>
    <s v="SERVICE HANDPHONE"/>
    <m/>
    <x v="0"/>
    <m/>
    <s v="EKO RISDIYANTORO JATIMULYA"/>
    <m/>
    <x v="2"/>
    <m/>
    <s v="HANIF"/>
    <m/>
    <s v="REPAIR"/>
    <m/>
    <s v="SAMSUNG"/>
    <m/>
    <s v="samsung a70"/>
    <m/>
    <s v="JASA71"/>
    <m/>
    <s v="JASA REPAIR"/>
    <m/>
    <n v="0"/>
    <m/>
    <n v="1"/>
    <m/>
    <n v="130000"/>
    <m/>
    <n v="130000"/>
    <m/>
    <s v="Achmad Indrawanto"/>
    <m/>
    <s v="N/A"/>
  </r>
  <r>
    <m/>
    <x v="3"/>
    <m/>
    <s v="MF-FP.24754"/>
    <m/>
    <s v="MF-ST.22248"/>
    <m/>
    <d v="2026-04-27T00:00:00"/>
    <m/>
    <s v="Umum"/>
    <m/>
    <s v="C.11253"/>
    <m/>
    <s v="IWAN"/>
    <m/>
    <s v="Achmad Indrawanto"/>
    <m/>
    <s v="SERVICE HANDPHONE"/>
    <m/>
    <x v="2"/>
    <m/>
    <s v="EKO RISDIYANTORO JATIMULYA"/>
    <m/>
    <x v="2"/>
    <m/>
    <s v="HANIF"/>
    <m/>
    <s v="REPAIR"/>
    <m/>
    <s v="SAMSUNG"/>
    <m/>
    <s v="samsung a70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3"/>
    <m/>
    <s v="MF-FP.24756"/>
    <m/>
    <s v="MF-ST.22244"/>
    <m/>
    <d v="2026-04-27T00:00:00"/>
    <m/>
    <s v="Member Reguler"/>
    <m/>
    <s v="MJ3274"/>
    <m/>
    <s v="FUNGI ANGGRIANI"/>
    <m/>
    <s v="HANIF"/>
    <m/>
    <s v="SERVICE LAPTOP"/>
    <m/>
    <x v="0"/>
    <m/>
    <s v="ARIFIN SANTOSO JATIMULYA"/>
    <m/>
    <x v="6"/>
    <m/>
    <s v="Achmad Indrawanto"/>
    <m/>
    <s v="SOFTWARE"/>
    <m/>
    <s v="HP"/>
    <m/>
    <s v="HP 14 ac"/>
    <m/>
    <s v="JASA71"/>
    <m/>
    <s v="JASA REPAIR"/>
    <m/>
    <n v="0"/>
    <m/>
    <n v="1"/>
    <m/>
    <n v="225000"/>
    <m/>
    <n v="225000"/>
    <m/>
    <s v="TEGAR PUTRA YANSA SALES"/>
    <m/>
    <s v="N/A"/>
  </r>
  <r>
    <m/>
    <x v="3"/>
    <m/>
    <s v="MF-FP.24756"/>
    <m/>
    <s v="MF-ST.22244"/>
    <m/>
    <d v="2026-04-27T00:00:00"/>
    <m/>
    <s v="Member Reguler"/>
    <m/>
    <s v="MJ3274"/>
    <m/>
    <s v="FUNGI ANGGRIANI"/>
    <m/>
    <s v="HANIF"/>
    <m/>
    <s v="SERVICE LAPTOP"/>
    <m/>
    <x v="2"/>
    <m/>
    <s v="ARIFIN SANTOSO JATIMULYA"/>
    <m/>
    <x v="6"/>
    <m/>
    <s v="Achmad Indrawanto"/>
    <m/>
    <s v="SOFTWARE"/>
    <m/>
    <s v="HP"/>
    <m/>
    <s v="HP 14 ac"/>
    <m/>
    <s v="AKOR-014"/>
    <m/>
    <s v="ORAIMO CABLE TYPE-C 2A OCD-114C"/>
    <m/>
    <n v="15000"/>
    <m/>
    <n v="1"/>
    <m/>
    <n v="25000"/>
    <m/>
    <n v="25000"/>
    <m/>
    <s v="TEGAR PUTRA YANSA SALES"/>
    <m/>
    <s v="N/A"/>
  </r>
  <r>
    <m/>
    <x v="4"/>
    <m/>
    <s v="MF-FP.24757"/>
    <m/>
    <s v="MF-ST.22252"/>
    <m/>
    <d v="2026-04-28T00:00:00"/>
    <m/>
    <s v="Umum"/>
    <m/>
    <s v="C.00000"/>
    <m/>
    <s v="Pelanggan Umum"/>
    <m/>
    <s v="HANIF"/>
    <m/>
    <s v="SERVICE HANDPHONE"/>
    <m/>
    <x v="0"/>
    <m/>
    <s v="EKO RISDIYANTORO JATIMULYA"/>
    <m/>
    <x v="2"/>
    <m/>
    <s v="HANIF"/>
    <m/>
    <s v="REPAIR"/>
    <m/>
    <s v="OPPO"/>
    <m/>
    <s v="a57"/>
    <m/>
    <s v="JASA71"/>
    <m/>
    <s v="JASA REPAIR"/>
    <m/>
    <n v="0"/>
    <m/>
    <n v="1"/>
    <m/>
    <n v="50000"/>
    <m/>
    <n v="50000"/>
    <m/>
    <m/>
    <m/>
    <s v="N/A"/>
  </r>
  <r>
    <m/>
    <x v="4"/>
    <m/>
    <s v="MF-FP.24758"/>
    <m/>
    <s v="MF-ST.22239"/>
    <m/>
    <d v="2026-04-27T00:00:00"/>
    <m/>
    <s v="Umum"/>
    <m/>
    <s v="C.13024"/>
    <m/>
    <s v="SYAFRI"/>
    <m/>
    <s v="HANIF"/>
    <m/>
    <s v="SERVICE LAPTOP"/>
    <m/>
    <x v="0"/>
    <m/>
    <s v="ARIFIN SANTOSO JATIMULYA"/>
    <m/>
    <x v="6"/>
    <m/>
    <s v="HANIF"/>
    <m/>
    <s v="HARDWARE"/>
    <m/>
    <s v="LENOVO"/>
    <m/>
    <s v="Lenovo ideapad 3"/>
    <m/>
    <s v="JASA71"/>
    <m/>
    <s v="JASA REPAIR"/>
    <m/>
    <n v="0"/>
    <m/>
    <n v="1"/>
    <m/>
    <n v="230000"/>
    <m/>
    <n v="230000"/>
    <m/>
    <m/>
    <m/>
    <s v="N/A"/>
  </r>
  <r>
    <m/>
    <x v="4"/>
    <m/>
    <s v="MF-FP.24760"/>
    <m/>
    <s v="MF-ST.22223"/>
    <m/>
    <d v="2026-04-27T00:00:00"/>
    <m/>
    <s v="Umum"/>
    <m/>
    <s v="C.12904"/>
    <m/>
    <s v="RIAN"/>
    <m/>
    <s v="WAHYU PRATAMA"/>
    <m/>
    <s v="SERVICE LAPTOP"/>
    <m/>
    <x v="1"/>
    <m/>
    <s v="ARIFIN SANTOSO JATIMULYA"/>
    <m/>
    <x v="6"/>
    <m/>
    <s v="HANIF"/>
    <m/>
    <s v="REPAIR"/>
    <m/>
    <s v="LENOVO"/>
    <m/>
    <s v="Lenovo yoga 520"/>
    <m/>
    <s v="107226"/>
    <m/>
    <s v="FLLCD LPT LNV YOGA 520-14IKB"/>
    <m/>
    <n v="131200"/>
    <m/>
    <n v="1"/>
    <m/>
    <n v="180000"/>
    <m/>
    <n v="180000"/>
    <m/>
    <m/>
    <m/>
    <s v="N/A"/>
  </r>
  <r>
    <m/>
    <x v="4"/>
    <m/>
    <s v="MF-FP.24761"/>
    <m/>
    <s v="MF-ST.22253"/>
    <m/>
    <d v="2026-04-28T00:00:00"/>
    <m/>
    <s v="Umum"/>
    <m/>
    <s v="C.13110"/>
    <m/>
    <s v="HERI"/>
    <m/>
    <s v="HANIF"/>
    <m/>
    <s v="SERVICE HANDPHONE"/>
    <m/>
    <x v="0"/>
    <m/>
    <s v="EKO RISDIYANTORO JATIMULYA"/>
    <m/>
    <x v="2"/>
    <m/>
    <s v="HANIF"/>
    <m/>
    <s v="SOFTWARE"/>
    <m/>
    <s v="HUAWEI"/>
    <m/>
    <s v="MATE PAD"/>
    <m/>
    <s v="JASA71"/>
    <m/>
    <s v="JASA REPAIR"/>
    <m/>
    <n v="0"/>
    <m/>
    <n v="1"/>
    <m/>
    <n v="130000"/>
    <m/>
    <n v="130000"/>
    <m/>
    <m/>
    <m/>
    <s v="N/A"/>
  </r>
  <r>
    <m/>
    <x v="4"/>
    <m/>
    <s v="MF-FP.24762"/>
    <m/>
    <s v="MF-ST.22254"/>
    <m/>
    <d v="2026-04-28T00:00:00"/>
    <m/>
    <s v="Umum"/>
    <m/>
    <s v="C.13111"/>
    <m/>
    <s v="RIZA"/>
    <m/>
    <s v="HANIF"/>
    <m/>
    <s v="SERVICE HANDPHONE"/>
    <m/>
    <x v="0"/>
    <m/>
    <s v="MUSTOFA"/>
    <m/>
    <x v="1"/>
    <m/>
    <s v="HANIF"/>
    <m/>
    <s v="REPAIR"/>
    <m/>
    <s v="XIAOMI"/>
    <m/>
    <s v="REDMI NOTE 12"/>
    <m/>
    <s v="JASA71"/>
    <m/>
    <s v="JASA REPAIR"/>
    <m/>
    <n v="0"/>
    <m/>
    <n v="1"/>
    <m/>
    <n v="130000"/>
    <m/>
    <n v="130000"/>
    <m/>
    <m/>
    <m/>
    <s v="N/A"/>
  </r>
  <r>
    <m/>
    <x v="4"/>
    <m/>
    <s v="MF-FP.24758"/>
    <m/>
    <s v="MF-ST.22239"/>
    <m/>
    <d v="2026-04-27T00:00:00"/>
    <m/>
    <s v="Umum"/>
    <m/>
    <s v="C.13024"/>
    <m/>
    <s v="SYAFRI"/>
    <m/>
    <s v="HANIF"/>
    <m/>
    <s v="SERVICE LAPTOP"/>
    <m/>
    <x v="2"/>
    <m/>
    <s v="ARIFIN SANTOSO JATIMULYA"/>
    <m/>
    <x v="6"/>
    <m/>
    <s v="HANIF"/>
    <m/>
    <s v="HARDWARE"/>
    <m/>
    <s v="LENOVO"/>
    <m/>
    <s v="Lenovo ideapad 3"/>
    <m/>
    <s v="AKOR-014"/>
    <m/>
    <s v="ORAIMO CABLE TYPE-C 2A OCD-114C"/>
    <m/>
    <n v="15000"/>
    <m/>
    <n v="1"/>
    <m/>
    <n v="20000"/>
    <m/>
    <n v="20000"/>
    <m/>
    <m/>
    <m/>
    <s v="N/A"/>
  </r>
  <r>
    <m/>
    <x v="4"/>
    <m/>
    <s v="MF-FP.24759"/>
    <m/>
    <s v="MF-ST.22224"/>
    <m/>
    <d v="2026-04-27T00:00:00"/>
    <m/>
    <s v="Member Reguler"/>
    <m/>
    <s v="C.12945"/>
    <m/>
    <s v="RIZA"/>
    <m/>
    <s v="WAHYU PRATAMA"/>
    <m/>
    <s v="SERVICE LAPTOP"/>
    <m/>
    <x v="0"/>
    <m/>
    <s v="ARIFIN SANTOSO JATIMULYA"/>
    <m/>
    <x v="6"/>
    <m/>
    <s v="HANIF"/>
    <m/>
    <s v="KEYBOARD"/>
    <m/>
    <s v="AXIO"/>
    <m/>
    <s v="Axioo mybook 14f"/>
    <m/>
    <s v="JASA71"/>
    <m/>
    <s v="JASA REPAIR"/>
    <m/>
    <n v="0"/>
    <m/>
    <n v="1"/>
    <m/>
    <n v="130000"/>
    <m/>
    <n v="130000"/>
    <m/>
    <s v="Achmad Indrawanto"/>
    <m/>
    <s v="N/A"/>
  </r>
  <r>
    <m/>
    <x v="4"/>
    <m/>
    <s v="MF-FP.24759"/>
    <m/>
    <s v="MF-ST.22224"/>
    <m/>
    <d v="2026-04-27T00:00:00"/>
    <m/>
    <s v="Member Reguler"/>
    <m/>
    <s v="C.12945"/>
    <m/>
    <s v="RIZA"/>
    <m/>
    <s v="WAHYU PRATAMA"/>
    <m/>
    <s v="SERVICE LAPTOP"/>
    <m/>
    <x v="2"/>
    <m/>
    <s v="ARIFIN SANTOSO JATIMULYA"/>
    <m/>
    <x v="6"/>
    <m/>
    <s v="HANIF"/>
    <m/>
    <s v="KEYBOARD"/>
    <m/>
    <s v="AXIO"/>
    <m/>
    <s v="Axioo mybook 14f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4"/>
    <m/>
    <s v="MF-FP.24760"/>
    <m/>
    <s v="MF-ST.22223"/>
    <m/>
    <d v="2026-04-27T00:00:00"/>
    <m/>
    <s v="Umum"/>
    <m/>
    <s v="C.12904"/>
    <m/>
    <s v="RIAN"/>
    <m/>
    <s v="WAHYU PRATAMA"/>
    <m/>
    <s v="SERVICE LAPTOP"/>
    <m/>
    <x v="0"/>
    <m/>
    <s v="ARIFIN SANTOSO JATIMULYA"/>
    <m/>
    <x v="6"/>
    <m/>
    <s v="HANIF"/>
    <m/>
    <s v="REPAIR"/>
    <m/>
    <s v="LENOVO"/>
    <m/>
    <s v="Lenovo yoga 520"/>
    <m/>
    <s v="JASA71"/>
    <m/>
    <s v="JASA REPAIR"/>
    <m/>
    <n v="0"/>
    <m/>
    <n v="1"/>
    <m/>
    <n v="650000"/>
    <m/>
    <n v="650000"/>
    <m/>
    <m/>
    <m/>
    <s v="N/A"/>
  </r>
  <r>
    <m/>
    <x v="4"/>
    <m/>
    <s v="MF-FP.24760"/>
    <m/>
    <s v="MF-ST.22223"/>
    <m/>
    <d v="2026-04-27T00:00:00"/>
    <m/>
    <s v="Umum"/>
    <m/>
    <s v="C.12904"/>
    <m/>
    <s v="RIAN"/>
    <m/>
    <s v="WAHYU PRATAMA"/>
    <m/>
    <s v="SERVICE LAPTOP"/>
    <m/>
    <x v="2"/>
    <m/>
    <s v="ARIFIN SANTOSO JATIMULYA"/>
    <m/>
    <x v="6"/>
    <m/>
    <s v="HANIF"/>
    <m/>
    <s v="REPAIR"/>
    <m/>
    <s v="LENOVO"/>
    <m/>
    <s v="Lenovo yoga 520"/>
    <m/>
    <s v="AKOR-014"/>
    <m/>
    <s v="ORAIMO CABLE TYPE-C 2A OCD-114C"/>
    <m/>
    <n v="15000"/>
    <m/>
    <n v="1"/>
    <m/>
    <n v="20000"/>
    <m/>
    <n v="20000"/>
    <m/>
    <m/>
    <m/>
    <s v="N/A"/>
  </r>
  <r>
    <m/>
    <x v="4"/>
    <m/>
    <s v="MF-FP.24761"/>
    <m/>
    <s v="MF-ST.22253"/>
    <m/>
    <d v="2026-04-28T00:00:00"/>
    <m/>
    <s v="Umum"/>
    <m/>
    <s v="C.13110"/>
    <m/>
    <s v="HERI"/>
    <m/>
    <s v="HANIF"/>
    <m/>
    <s v="SERVICE HANDPHONE"/>
    <m/>
    <x v="2"/>
    <m/>
    <s v="EKO RISDIYANTORO JATIMULYA"/>
    <m/>
    <x v="2"/>
    <m/>
    <s v="HANIF"/>
    <m/>
    <s v="SOFTWARE"/>
    <m/>
    <s v="HUAWEI"/>
    <m/>
    <s v="MATE PAD"/>
    <m/>
    <s v="AKOR-014"/>
    <m/>
    <s v="ORAIMO CABLE TYPE-C 2A OCD-114C"/>
    <m/>
    <n v="15000"/>
    <m/>
    <n v="1"/>
    <m/>
    <n v="20000"/>
    <m/>
    <n v="20000"/>
    <m/>
    <m/>
    <m/>
    <s v="N/A"/>
  </r>
  <r>
    <m/>
    <x v="4"/>
    <m/>
    <s v="MF-FP.24763"/>
    <m/>
    <s v="MF-ST.22046"/>
    <m/>
    <d v="2026-04-20T00:00:00"/>
    <m/>
    <s v="Umum"/>
    <m/>
    <s v="C.13028"/>
    <m/>
    <s v="VIOLA"/>
    <m/>
    <s v="WAHYU PRATAMA"/>
    <m/>
    <s v="SERVICE LAPTOP"/>
    <m/>
    <x v="0"/>
    <m/>
    <s v="ARIFIN SANTOSO JATIMULYA"/>
    <m/>
    <x v="6"/>
    <m/>
    <s v="HANIF"/>
    <m/>
    <s v="ENGSEL"/>
    <m/>
    <s v="LENOVO"/>
    <m/>
    <s v="Lenovo Ideapad flex 5"/>
    <m/>
    <s v="JASA71"/>
    <m/>
    <s v="JASA REPAIR"/>
    <m/>
    <n v="0"/>
    <m/>
    <n v="1"/>
    <m/>
    <n v="930000"/>
    <m/>
    <n v="930000"/>
    <m/>
    <m/>
    <m/>
    <s v="N/A"/>
  </r>
  <r>
    <m/>
    <x v="4"/>
    <m/>
    <s v="MF-FP.24763"/>
    <m/>
    <s v="MF-ST.22046"/>
    <m/>
    <d v="2026-04-20T00:00:00"/>
    <m/>
    <s v="Umum"/>
    <m/>
    <s v="C.13028"/>
    <m/>
    <s v="VIOLA"/>
    <m/>
    <s v="WAHYU PRATAMA"/>
    <m/>
    <s v="SERVICE LAPTOP"/>
    <m/>
    <x v="2"/>
    <m/>
    <s v="ARIFIN SANTOSO JATIMULYA"/>
    <m/>
    <x v="6"/>
    <m/>
    <s v="HANIF"/>
    <m/>
    <s v="ENGSEL"/>
    <m/>
    <s v="LENOVO"/>
    <m/>
    <s v="Lenovo Ideapad flex 5"/>
    <m/>
    <s v="AKOR-014"/>
    <m/>
    <s v="ORAIMO CABLE TYPE-C 2A OCD-114C"/>
    <m/>
    <n v="15000"/>
    <m/>
    <n v="1"/>
    <m/>
    <n v="20000"/>
    <m/>
    <n v="20000"/>
    <m/>
    <m/>
    <m/>
    <s v="N/A"/>
  </r>
  <r>
    <m/>
    <x v="4"/>
    <m/>
    <s v="MF-FP.24764"/>
    <m/>
    <s v="MF-ST.22141"/>
    <m/>
    <d v="2026-04-23T00:00:00"/>
    <m/>
    <s v="Umum"/>
    <m/>
    <s v="C.04223"/>
    <m/>
    <s v="IBU MEIDA"/>
    <m/>
    <s v="WAHYU PRATAMA"/>
    <m/>
    <s v="SERVICE LAPTOP"/>
    <m/>
    <x v="0"/>
    <m/>
    <s v="ARIFIN SANTOSO JATIMULYA"/>
    <m/>
    <x v="6"/>
    <m/>
    <s v="HANIF"/>
    <m/>
    <s v="KEYBOARD"/>
    <m/>
    <s v="LENOVO"/>
    <m/>
    <s v="X230"/>
    <m/>
    <s v="JASA71"/>
    <m/>
    <s v="JASA REPAIR"/>
    <m/>
    <n v="0"/>
    <m/>
    <n v="1"/>
    <m/>
    <n v="300000"/>
    <m/>
    <n v="300000"/>
    <m/>
    <m/>
    <m/>
    <s v="N/A"/>
  </r>
  <r>
    <m/>
    <x v="4"/>
    <m/>
    <s v="MF-FP.24764"/>
    <m/>
    <s v="MF-ST.22141"/>
    <m/>
    <d v="2026-04-23T00:00:00"/>
    <m/>
    <s v="Umum"/>
    <m/>
    <s v="C.04223"/>
    <m/>
    <s v="IBU MEIDA"/>
    <m/>
    <s v="WAHYU PRATAMA"/>
    <m/>
    <s v="SERVICE LAPTOP"/>
    <m/>
    <x v="1"/>
    <m/>
    <s v="ARIFIN SANTOSO JATIMULYA"/>
    <m/>
    <x v="6"/>
    <m/>
    <s v="HANIF"/>
    <m/>
    <s v="KEYBOARD"/>
    <m/>
    <s v="LENOVO"/>
    <m/>
    <s v="X230"/>
    <m/>
    <s v="103581"/>
    <m/>
    <s v="KYBRD LPT LNV X240S X240 X230 X230S X250 X260 B"/>
    <m/>
    <n v="140000"/>
    <m/>
    <n v="1"/>
    <m/>
    <n v="180000"/>
    <m/>
    <n v="180000"/>
    <m/>
    <m/>
    <m/>
    <s v="N/A"/>
  </r>
  <r>
    <m/>
    <x v="4"/>
    <m/>
    <s v="MF-FP.24764"/>
    <m/>
    <s v="MF-ST.22141"/>
    <m/>
    <d v="2026-04-23T00:00:00"/>
    <m/>
    <s v="Umum"/>
    <m/>
    <s v="C.04223"/>
    <m/>
    <s v="IBU MEIDA"/>
    <m/>
    <s v="WAHYU PRATAMA"/>
    <m/>
    <s v="SERVICE LAPTOP"/>
    <m/>
    <x v="2"/>
    <m/>
    <s v="ARIFIN SANTOSO JATIMULYA"/>
    <m/>
    <x v="6"/>
    <m/>
    <s v="HANIF"/>
    <m/>
    <s v="KEYBOARD"/>
    <m/>
    <s v="LENOVO"/>
    <m/>
    <s v="X230"/>
    <m/>
    <s v="AKOR-014"/>
    <m/>
    <s v="ORAIMO CABLE TYPE-C 2A OCD-114C"/>
    <m/>
    <n v="15000"/>
    <m/>
    <n v="1"/>
    <m/>
    <n v="20000"/>
    <m/>
    <n v="20000"/>
    <m/>
    <m/>
    <m/>
    <s v="N/A"/>
  </r>
  <r>
    <m/>
    <x v="4"/>
    <m/>
    <s v="MF-FP.24762"/>
    <m/>
    <s v="MF-ST.22254"/>
    <m/>
    <d v="2026-04-28T00:00:00"/>
    <m/>
    <s v="Umum"/>
    <m/>
    <s v="C.13111"/>
    <m/>
    <s v="RIZA"/>
    <m/>
    <s v="HANIF"/>
    <m/>
    <s v="SERVICE HANDPHONE"/>
    <m/>
    <x v="2"/>
    <m/>
    <s v="MUSTOFA"/>
    <m/>
    <x v="1"/>
    <m/>
    <s v="HANIF"/>
    <m/>
    <s v="REPAIR"/>
    <m/>
    <s v="XIAOMI"/>
    <m/>
    <s v="REDMI NOTE 12"/>
    <m/>
    <s v="AKOR-014"/>
    <m/>
    <s v="ORAIMO CABLE TYPE-C 2A OCD-114C"/>
    <m/>
    <n v="15000"/>
    <m/>
    <n v="1"/>
    <m/>
    <n v="20000"/>
    <m/>
    <n v="20000"/>
    <m/>
    <m/>
    <m/>
    <s v="N/A"/>
  </r>
  <r>
    <m/>
    <x v="4"/>
    <m/>
    <s v="MF-FP.24765"/>
    <m/>
    <s v="MF-ST.22256"/>
    <m/>
    <d v="2026-04-28T00:00:00"/>
    <m/>
    <s v="Umum"/>
    <m/>
    <s v="C.00000"/>
    <m/>
    <s v="Pelanggan Umum"/>
    <m/>
    <s v="HANIF"/>
    <m/>
    <s v="SERVICE HANDPHONE"/>
    <m/>
    <x v="0"/>
    <m/>
    <s v="EKO RISDIYANTORO JATIMULYA"/>
    <m/>
    <x v="2"/>
    <m/>
    <s v="HANIF"/>
    <m/>
    <s v="SOFTWARE"/>
    <m/>
    <s v="BELUM ADA MERK"/>
    <m/>
    <s v="N/A"/>
    <m/>
    <s v="JASA71"/>
    <m/>
    <s v="JASA REPAIR"/>
    <m/>
    <n v="0"/>
    <m/>
    <n v="1"/>
    <m/>
    <n v="80000"/>
    <m/>
    <n v="80000"/>
    <m/>
    <m/>
    <m/>
    <s v="N/A"/>
  </r>
  <r>
    <m/>
    <x v="4"/>
    <m/>
    <s v="MF-FP.24765"/>
    <m/>
    <s v="MF-ST.22256"/>
    <m/>
    <d v="2026-04-28T00:00:00"/>
    <m/>
    <s v="Umum"/>
    <m/>
    <s v="C.00000"/>
    <m/>
    <s v="Pelanggan Umum"/>
    <m/>
    <s v="HANIF"/>
    <m/>
    <s v="SERVICE HANDPHONE"/>
    <m/>
    <x v="2"/>
    <m/>
    <s v="EKO RISDIYANTORO JATIMULYA"/>
    <m/>
    <x v="2"/>
    <m/>
    <s v="HANIF"/>
    <m/>
    <s v="SOFTWARE"/>
    <m/>
    <s v="BELUM ADA MERK"/>
    <m/>
    <s v="N/A"/>
    <m/>
    <s v="AKOR-014"/>
    <m/>
    <s v="ORAIMO CABLE TYPE-C 2A OCD-114C"/>
    <m/>
    <n v="15000"/>
    <m/>
    <n v="1"/>
    <m/>
    <n v="20000"/>
    <m/>
    <n v="20000"/>
    <m/>
    <m/>
    <m/>
    <s v="N/A"/>
  </r>
  <r>
    <m/>
    <x v="4"/>
    <m/>
    <s v="MF-FP.24766"/>
    <m/>
    <s v="arifin"/>
    <m/>
    <d v="2026-04-27T00:00:00"/>
    <m/>
    <s v="Member Reguler"/>
    <m/>
    <s v="C.08681"/>
    <m/>
    <s v="ADIT"/>
    <m/>
    <s v="HANIF"/>
    <m/>
    <s v="SERVICE LAPTOP"/>
    <m/>
    <x v="2"/>
    <m/>
    <s v="ARIFIN SANTOSO JATIMULYA"/>
    <m/>
    <x v="6"/>
    <m/>
    <s v="HANIF"/>
    <m/>
    <s v="SOFTWARE"/>
    <m/>
    <s v="ASUS"/>
    <m/>
    <s v="Asus a407m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4"/>
    <m/>
    <s v="MF-FP.24773"/>
    <m/>
    <s v="MF-ST.22267"/>
    <m/>
    <d v="2026-04-28T00:00:00"/>
    <m/>
    <s v="Umum"/>
    <m/>
    <s v="C.13115"/>
    <m/>
    <s v="FAHMI"/>
    <m/>
    <s v="Achmad Indrawanto"/>
    <m/>
    <s v="SERVICE HANDPHONE"/>
    <m/>
    <x v="1"/>
    <m/>
    <s v="YUVI NOFERIANTO"/>
    <m/>
    <x v="4"/>
    <m/>
    <s v="Achmad Indrawanto"/>
    <m/>
    <s v="BATERAI"/>
    <m/>
    <s v="XIAOMI"/>
    <m/>
    <s v="Redmi note 8 pro"/>
    <m/>
    <s v="100330"/>
    <m/>
    <s v="BATER XIO REDMI NOTE 8 PRO BM4J"/>
    <m/>
    <n v="100489.762183"/>
    <m/>
    <n v="1"/>
    <m/>
    <n v="140000"/>
    <m/>
    <n v="140000"/>
    <m/>
    <s v="Achmad Indrawanto"/>
    <m/>
    <s v="N/A"/>
  </r>
  <r>
    <m/>
    <x v="4"/>
    <m/>
    <s v="MF-FP.24768"/>
    <m/>
    <s v="MF-ST.22259"/>
    <m/>
    <d v="2026-04-28T00:00:00"/>
    <m/>
    <s v="Member Reguler"/>
    <m/>
    <s v="MJ3060"/>
    <m/>
    <s v="LISYA SUSIANA"/>
    <m/>
    <s v="Achmad Indrawanto"/>
    <m/>
    <s v="SERVICE HANDPHONE"/>
    <m/>
    <x v="0"/>
    <m/>
    <s v="EKO RISDIYANTORO JATIMULYA"/>
    <m/>
    <x v="2"/>
    <m/>
    <s v="Achmad Indrawanto"/>
    <m/>
    <s v="REPAIR"/>
    <m/>
    <s v="APPLE"/>
    <m/>
    <s v="ipad 9"/>
    <m/>
    <s v="JASA71"/>
    <m/>
    <s v="JASA REPAIR"/>
    <m/>
    <n v="0"/>
    <m/>
    <n v="1"/>
    <m/>
    <n v="75000"/>
    <m/>
    <n v="75000"/>
    <m/>
    <s v="TEGAR PUTRA YANSA SALES"/>
    <m/>
    <s v="N/A"/>
  </r>
  <r>
    <m/>
    <x v="4"/>
    <m/>
    <s v="MF-FP.24772"/>
    <m/>
    <s v="MF-ST.22265"/>
    <m/>
    <d v="2026-04-28T00:00:00"/>
    <m/>
    <s v="Umum"/>
    <m/>
    <s v="C.06331"/>
    <m/>
    <s v="ILMAN"/>
    <m/>
    <s v="Achmad Indrawanto"/>
    <m/>
    <s v="SERVICE HANDPHONE"/>
    <m/>
    <x v="0"/>
    <m/>
    <s v="ARI MARWAN"/>
    <m/>
    <x v="0"/>
    <m/>
    <s v="Achmad Indrawanto"/>
    <m/>
    <s v="LCD"/>
    <m/>
    <s v="BELUM ADA MERK"/>
    <m/>
    <s v="itel s23"/>
    <m/>
    <s v="JASA71"/>
    <m/>
    <s v="JASA REPAIR"/>
    <m/>
    <n v="0"/>
    <m/>
    <n v="1"/>
    <m/>
    <n v="185000"/>
    <m/>
    <n v="185000"/>
    <m/>
    <m/>
    <m/>
    <s v="N/A"/>
  </r>
  <r>
    <m/>
    <x v="4"/>
    <m/>
    <s v="MF-FP.24772"/>
    <m/>
    <s v="MF-ST.22265"/>
    <m/>
    <d v="2026-04-28T00:00:00"/>
    <m/>
    <s v="Umum"/>
    <m/>
    <s v="C.06331"/>
    <m/>
    <s v="ILMAN"/>
    <m/>
    <s v="Achmad Indrawanto"/>
    <m/>
    <s v="SERVICE HANDPHONE"/>
    <m/>
    <x v="1"/>
    <m/>
    <s v="ARI MARWAN"/>
    <m/>
    <x v="0"/>
    <m/>
    <s v="Achmad Indrawanto"/>
    <m/>
    <s v="LCD"/>
    <m/>
    <s v="BELUM ADA MERK"/>
    <m/>
    <s v="itel s23"/>
    <m/>
    <s v="103948"/>
    <m/>
    <s v="LCD.. INF SMART 7/SMART 7 PLUS/HOT 30i/ITEL S23/ ITEL A70 B"/>
    <m/>
    <n v="115000"/>
    <m/>
    <n v="1"/>
    <m/>
    <n v="190000"/>
    <m/>
    <n v="190000"/>
    <m/>
    <m/>
    <m/>
    <s v="N/A"/>
  </r>
  <r>
    <m/>
    <x v="4"/>
    <m/>
    <s v="MF-FP.24772"/>
    <m/>
    <s v="MF-ST.22265"/>
    <m/>
    <d v="2026-04-28T00:00:00"/>
    <m/>
    <s v="Umum"/>
    <m/>
    <s v="C.06331"/>
    <m/>
    <s v="ILMAN"/>
    <m/>
    <s v="Achmad Indrawanto"/>
    <m/>
    <s v="SERVICE HANDPHONE"/>
    <m/>
    <x v="2"/>
    <m/>
    <s v="ARI MARWAN"/>
    <m/>
    <x v="0"/>
    <m/>
    <s v="Achmad Indrawanto"/>
    <m/>
    <s v="LCD"/>
    <m/>
    <s v="BELUM ADA MERK"/>
    <m/>
    <s v="itel s23"/>
    <m/>
    <s v="AKOR-014"/>
    <m/>
    <s v="ORAIMO CABLE TYPE-C 2A OCD-114C"/>
    <m/>
    <n v="15000"/>
    <m/>
    <n v="1"/>
    <m/>
    <n v="25000"/>
    <m/>
    <n v="25000"/>
    <m/>
    <m/>
    <m/>
    <s v="N/A"/>
  </r>
  <r>
    <m/>
    <x v="4"/>
    <m/>
    <s v="MF-FP.24770"/>
    <m/>
    <s v="MF-ST.22236"/>
    <m/>
    <d v="2026-04-27T00:00:00"/>
    <m/>
    <s v="Umum"/>
    <m/>
    <s v="C.13106"/>
    <m/>
    <s v="VIKI"/>
    <m/>
    <s v="HANIF"/>
    <m/>
    <s v="SERVICE HANDPHONE"/>
    <m/>
    <x v="0"/>
    <m/>
    <s v="YUVI NOFERIANTO"/>
    <m/>
    <x v="4"/>
    <m/>
    <s v="Achmad Indrawanto"/>
    <m/>
    <s v="FLEXIBEL VOLUME"/>
    <m/>
    <s v="XIAOMI"/>
    <m/>
    <s v="Mi 11 ultra"/>
    <m/>
    <s v="JASA71"/>
    <m/>
    <s v="JASA REPAIR"/>
    <m/>
    <n v="0"/>
    <m/>
    <n v="1"/>
    <m/>
    <n v="155000"/>
    <m/>
    <n v="155000"/>
    <m/>
    <m/>
    <m/>
    <s v="N/A"/>
  </r>
  <r>
    <m/>
    <x v="4"/>
    <m/>
    <s v="MF-FP.24770"/>
    <m/>
    <s v="MF-ST.22236"/>
    <m/>
    <d v="2026-04-27T00:00:00"/>
    <m/>
    <s v="Umum"/>
    <m/>
    <s v="C.13106"/>
    <m/>
    <s v="VIKI"/>
    <m/>
    <s v="HANIF"/>
    <m/>
    <s v="SERVICE HANDPHONE"/>
    <m/>
    <x v="1"/>
    <m/>
    <s v="YUVI NOFERIANTO"/>
    <m/>
    <x v="4"/>
    <m/>
    <s v="Achmad Indrawanto"/>
    <m/>
    <s v="FLEXIBEL VOLUME"/>
    <m/>
    <s v="XIAOMI"/>
    <m/>
    <s v="Mi 11 ultra"/>
    <m/>
    <s v="105329"/>
    <m/>
    <s v="FLOFV XIO REDMI NOTE 10 5G/POCO X3 GT/POCO M3 PRO"/>
    <m/>
    <n v="4107.1224490000004"/>
    <m/>
    <n v="1"/>
    <m/>
    <n v="20000"/>
    <m/>
    <n v="20000"/>
    <m/>
    <m/>
    <m/>
    <s v="N/A"/>
  </r>
  <r>
    <m/>
    <x v="4"/>
    <m/>
    <s v="MF-FP.24770"/>
    <m/>
    <s v="MF-ST.22236"/>
    <m/>
    <d v="2026-04-27T00:00:00"/>
    <m/>
    <s v="Umum"/>
    <m/>
    <s v="C.13106"/>
    <m/>
    <s v="VIKI"/>
    <m/>
    <s v="HANIF"/>
    <m/>
    <s v="SERVICE HANDPHONE"/>
    <m/>
    <x v="2"/>
    <m/>
    <s v="YUVI NOFERIANTO"/>
    <m/>
    <x v="4"/>
    <m/>
    <s v="Achmad Indrawanto"/>
    <m/>
    <s v="FLEXIBEL VOLUME"/>
    <m/>
    <s v="XIAOMI"/>
    <m/>
    <s v="Mi 11 ultra"/>
    <m/>
    <s v="AKOR-014"/>
    <m/>
    <s v="ORAIMO CABLE TYPE-C 2A OCD-114C"/>
    <m/>
    <n v="15000"/>
    <m/>
    <n v="1"/>
    <m/>
    <n v="25000"/>
    <m/>
    <n v="25000"/>
    <m/>
    <m/>
    <m/>
    <s v="N/A"/>
  </r>
  <r>
    <m/>
    <x v="4"/>
    <m/>
    <s v="MF-FP.24771"/>
    <m/>
    <s v="MF-ST.22260"/>
    <m/>
    <d v="2026-04-28T00:00:00"/>
    <m/>
    <s v="Member Reguler"/>
    <m/>
    <s v="C.06093"/>
    <m/>
    <s v="DEVI"/>
    <m/>
    <s v="Achmad Indrawanto"/>
    <m/>
    <s v="SERVICE HANDPHONE"/>
    <m/>
    <x v="0"/>
    <m/>
    <s v="ARI MARWAN"/>
    <m/>
    <x v="0"/>
    <m/>
    <s v="Achmad Indrawanto"/>
    <m/>
    <s v="REPAIR"/>
    <m/>
    <s v="INFINIX"/>
    <m/>
    <s v="Infinix Hot 10s"/>
    <m/>
    <s v="JASA71"/>
    <m/>
    <s v="JASA REPAIR"/>
    <m/>
    <n v="0"/>
    <m/>
    <n v="1"/>
    <m/>
    <n v="100000"/>
    <m/>
    <n v="100000"/>
    <m/>
    <s v="Achmad Indrawanto"/>
    <m/>
    <s v="N/A"/>
  </r>
  <r>
    <m/>
    <x v="4"/>
    <m/>
    <s v="MF-FP.24771"/>
    <m/>
    <s v="MF-ST.22260"/>
    <m/>
    <d v="2026-04-28T00:00:00"/>
    <m/>
    <s v="Member Reguler"/>
    <m/>
    <s v="C.06093"/>
    <m/>
    <s v="DEVI"/>
    <m/>
    <s v="Achmad Indrawanto"/>
    <m/>
    <s v="SERVICE HANDPHONE"/>
    <m/>
    <x v="2"/>
    <m/>
    <s v="ARI MARWAN"/>
    <m/>
    <x v="0"/>
    <m/>
    <s v="Achmad Indrawanto"/>
    <m/>
    <s v="REPAIR"/>
    <m/>
    <s v="INFINIX"/>
    <m/>
    <s v="Infinix Hot 10s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4"/>
    <m/>
    <s v="MF-FP.24773"/>
    <m/>
    <s v="MF-ST.22267"/>
    <m/>
    <d v="2026-04-28T00:00:00"/>
    <m/>
    <s v="Umum"/>
    <m/>
    <s v="C.13115"/>
    <m/>
    <s v="FAHMI"/>
    <m/>
    <s v="Achmad Indrawanto"/>
    <m/>
    <s v="SERVICE HANDPHONE"/>
    <m/>
    <x v="2"/>
    <m/>
    <s v="YUVI NOFERIANTO"/>
    <m/>
    <x v="4"/>
    <m/>
    <s v="Achmad Indrawanto"/>
    <m/>
    <s v="BATERAI"/>
    <m/>
    <s v="XIAOMI"/>
    <m/>
    <s v="Redmi note 8 pro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4"/>
    <m/>
    <s v="MF-FP.24774"/>
    <m/>
    <s v="MF-ST.22257"/>
    <m/>
    <d v="2026-04-28T00:00:00"/>
    <m/>
    <s v="Umum"/>
    <m/>
    <s v="C.11888"/>
    <m/>
    <s v="PANDU"/>
    <m/>
    <s v="Achmad Indrawanto"/>
    <m/>
    <s v="SERVICE LAPTOP"/>
    <m/>
    <x v="0"/>
    <m/>
    <s v="MUSTOFA"/>
    <m/>
    <x v="1"/>
    <m/>
    <s v="Achmad Indrawanto"/>
    <m/>
    <s v="CLEAN UP"/>
    <m/>
    <s v="ADVAN"/>
    <m/>
    <s v="WORKPLUS"/>
    <m/>
    <s v="JASA71"/>
    <m/>
    <s v="JASA REPAIR"/>
    <m/>
    <n v="0"/>
    <m/>
    <n v="1"/>
    <m/>
    <n v="225000"/>
    <m/>
    <n v="225000"/>
    <m/>
    <m/>
    <m/>
    <s v="N/A"/>
  </r>
  <r>
    <m/>
    <x v="4"/>
    <m/>
    <s v="MF-FP.24774"/>
    <m/>
    <s v="MF-ST.22257"/>
    <m/>
    <d v="2026-04-28T00:00:00"/>
    <m/>
    <s v="Umum"/>
    <m/>
    <s v="C.11888"/>
    <m/>
    <s v="PANDU"/>
    <m/>
    <s v="Achmad Indrawanto"/>
    <m/>
    <s v="SERVICE LAPTOP"/>
    <m/>
    <x v="2"/>
    <m/>
    <s v="MUSTOFA"/>
    <m/>
    <x v="1"/>
    <m/>
    <s v="Achmad Indrawanto"/>
    <m/>
    <s v="CLEAN UP"/>
    <m/>
    <s v="ADVAN"/>
    <m/>
    <s v="WORKPLUS"/>
    <m/>
    <s v="AKOR-014"/>
    <m/>
    <s v="ORAIMO CABLE TYPE-C 2A OCD-114C"/>
    <m/>
    <n v="15000"/>
    <m/>
    <n v="1"/>
    <m/>
    <n v="25000"/>
    <m/>
    <n v="25000"/>
    <m/>
    <m/>
    <m/>
    <s v="N/A"/>
  </r>
  <r>
    <m/>
    <x v="4"/>
    <m/>
    <s v="MF-FP.24773"/>
    <m/>
    <s v="MF-ST.22267"/>
    <m/>
    <d v="2026-04-28T00:00:00"/>
    <m/>
    <s v="Umum"/>
    <m/>
    <s v="C.13115"/>
    <m/>
    <s v="FAHMI"/>
    <m/>
    <s v="Achmad Indrawanto"/>
    <m/>
    <s v="SERVICE HANDPHONE"/>
    <m/>
    <x v="0"/>
    <m/>
    <s v="YUVI NOFERIANTO"/>
    <m/>
    <x v="4"/>
    <m/>
    <s v="Achmad Indrawanto"/>
    <m/>
    <s v="BATERAI"/>
    <m/>
    <s v="XIAOMI"/>
    <m/>
    <s v="Redmi note 8 pro"/>
    <m/>
    <s v="JASA71"/>
    <m/>
    <s v="JASA REPAIR"/>
    <m/>
    <n v="0"/>
    <m/>
    <n v="1"/>
    <m/>
    <n v="185000"/>
    <m/>
    <n v="185000"/>
    <m/>
    <s v="Achmad Indrawanto"/>
    <m/>
    <s v="N/A"/>
  </r>
  <r>
    <m/>
    <x v="4"/>
    <m/>
    <s v="MF-FP.24775"/>
    <m/>
    <s v="MF-ST.22268"/>
    <m/>
    <d v="2026-04-28T00:00:00"/>
    <m/>
    <s v="Member Reguler"/>
    <m/>
    <s v="C.13116"/>
    <m/>
    <s v="CITRA"/>
    <m/>
    <s v="Achmad Indrawanto"/>
    <m/>
    <s v="SERVICE HANDPHONE"/>
    <m/>
    <x v="0"/>
    <m/>
    <s v="ARI MARWAN"/>
    <m/>
    <x v="0"/>
    <m/>
    <s v="Achmad Indrawanto"/>
    <m/>
    <s v="LCD"/>
    <m/>
    <s v="OPPO"/>
    <m/>
    <s v="Reno 8 4G"/>
    <m/>
    <s v="JASA71"/>
    <m/>
    <s v="JASA REPAIR"/>
    <m/>
    <n v="0"/>
    <m/>
    <n v="1"/>
    <m/>
    <n v="185000"/>
    <m/>
    <n v="185000"/>
    <m/>
    <s v="Achmad Indrawanto"/>
    <m/>
    <s v="N/A"/>
  </r>
  <r>
    <m/>
    <x v="4"/>
    <m/>
    <s v="MF-FP.24775"/>
    <m/>
    <s v="MF-ST.22268"/>
    <m/>
    <d v="2026-04-28T00:00:00"/>
    <m/>
    <s v="Member Reguler"/>
    <m/>
    <s v="C.13116"/>
    <m/>
    <s v="CITRA"/>
    <m/>
    <s v="Achmad Indrawanto"/>
    <m/>
    <s v="SERVICE HANDPHONE"/>
    <m/>
    <x v="2"/>
    <m/>
    <s v="ARI MARWAN"/>
    <m/>
    <x v="0"/>
    <m/>
    <s v="Achmad Indrawanto"/>
    <m/>
    <s v="LCD"/>
    <m/>
    <s v="OPPO"/>
    <m/>
    <s v="Reno 8 4G"/>
    <m/>
    <s v="100024"/>
    <m/>
    <s v="VIVAN HYDROGEL BASIC ANTI GLARE VSP03T"/>
    <m/>
    <n v="14190.080550000001"/>
    <m/>
    <n v="1"/>
    <m/>
    <n v="75000"/>
    <m/>
    <n v="75000"/>
    <m/>
    <s v="Achmad Indrawanto"/>
    <m/>
    <s v="N/A"/>
  </r>
  <r>
    <m/>
    <x v="4"/>
    <m/>
    <s v="MF-FP.24776"/>
    <m/>
    <s v="MF-ST.22264"/>
    <m/>
    <d v="2026-04-28T00:00:00"/>
    <m/>
    <s v="Member Reguler"/>
    <m/>
    <s v="C.02820"/>
    <m/>
    <s v="Ahmad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0024"/>
    <m/>
    <s v="VIVAN HYDROGEL BASIC ANTI GLARE VSP03T"/>
    <m/>
    <n v="14190.080550000001"/>
    <m/>
    <n v="1"/>
    <m/>
    <n v="75000"/>
    <m/>
    <n v="75000"/>
    <m/>
    <s v="TEGAR PUTRA YANSA SALES"/>
    <m/>
    <s v="N/A"/>
  </r>
  <r>
    <m/>
    <x v="4"/>
    <m/>
    <s v="MF-FP.24775"/>
    <m/>
    <s v="MF-ST.22268"/>
    <m/>
    <d v="2026-04-28T00:00:00"/>
    <m/>
    <s v="Member Reguler"/>
    <m/>
    <s v="C.13116"/>
    <m/>
    <s v="CITRA"/>
    <m/>
    <s v="Achmad Indrawanto"/>
    <m/>
    <s v="SERVICE HANDPHONE"/>
    <m/>
    <x v="1"/>
    <m/>
    <s v="ARI MARWAN"/>
    <m/>
    <x v="0"/>
    <m/>
    <s v="Achmad Indrawanto"/>
    <m/>
    <s v="LCD"/>
    <m/>
    <s v="OPPO"/>
    <m/>
    <s v="Reno 8 4G"/>
    <m/>
    <s v="101651"/>
    <m/>
    <s v="LCD.. RLM 9 4G/RLM 9 PRO PLUS/RLM 9 PRO/RLM 10 4G/OPP RENO 7/7Z/RENO 8/RENO 8T B FST"/>
    <m/>
    <n v="154588.71716299999"/>
    <m/>
    <n v="1"/>
    <m/>
    <n v="240000"/>
    <m/>
    <n v="240000"/>
    <m/>
    <s v="Achmad Indrawanto"/>
    <m/>
    <s v="N/A"/>
  </r>
  <r>
    <m/>
    <x v="4"/>
    <m/>
    <s v="MF-FP.24777"/>
    <m/>
    <s v="MF-ST.22269"/>
    <m/>
    <d v="2026-04-28T00:00:00"/>
    <m/>
    <s v="Member Reguler"/>
    <m/>
    <s v="C.13117"/>
    <m/>
    <s v="SULIMI"/>
    <m/>
    <s v="Achmad Indrawanto"/>
    <m/>
    <s v="SERVICE HANDPHONE"/>
    <m/>
    <x v="0"/>
    <m/>
    <s v="ARI MARWAN"/>
    <m/>
    <x v="0"/>
    <m/>
    <s v="Achmad Indrawanto"/>
    <m/>
    <s v="REPAIR"/>
    <m/>
    <s v="VIVO"/>
    <m/>
    <s v="VIVO V3"/>
    <m/>
    <s v="JASA71"/>
    <m/>
    <s v="JASA REPAIR"/>
    <m/>
    <n v="0"/>
    <m/>
    <n v="1"/>
    <m/>
    <n v="50000"/>
    <m/>
    <n v="50000"/>
    <m/>
    <s v="Achmad Indrawanto"/>
    <m/>
    <s v="N/A"/>
  </r>
  <r>
    <m/>
    <x v="4"/>
    <m/>
    <s v="MF-FP.24777"/>
    <m/>
    <s v="MF-ST.22269"/>
    <m/>
    <d v="2026-04-28T00:00:00"/>
    <m/>
    <s v="Member Reguler"/>
    <m/>
    <s v="C.13117"/>
    <m/>
    <s v="SULIMI"/>
    <m/>
    <s v="Achmad Indrawanto"/>
    <m/>
    <s v="SERVICE HANDPHONE"/>
    <m/>
    <x v="2"/>
    <m/>
    <s v="ARI MARWAN"/>
    <m/>
    <x v="0"/>
    <m/>
    <s v="Achmad Indrawanto"/>
    <m/>
    <s v="REPAIR"/>
    <m/>
    <s v="VIVO"/>
    <m/>
    <s v="VIVO V3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4"/>
    <m/>
    <s v="MF-FP.24766"/>
    <m/>
    <s v="arifin"/>
    <m/>
    <d v="2026-04-27T00:00:00"/>
    <m/>
    <s v="Member Reguler"/>
    <m/>
    <s v="C.08681"/>
    <m/>
    <s v="ADIT"/>
    <m/>
    <s v="HANIF"/>
    <m/>
    <s v="SERVICE LAPTOP"/>
    <m/>
    <x v="0"/>
    <m/>
    <s v="ARIFIN SANTOSO JATIMULYA"/>
    <m/>
    <x v="6"/>
    <m/>
    <s v="HANIF"/>
    <m/>
    <s v="SOFTWARE"/>
    <m/>
    <s v="ASUS"/>
    <m/>
    <s v="Asus a407m"/>
    <m/>
    <s v="JASA71"/>
    <m/>
    <s v="JASA REPAIR"/>
    <m/>
    <n v="0"/>
    <m/>
    <n v="1"/>
    <m/>
    <n v="230000"/>
    <m/>
    <n v="230000"/>
    <m/>
    <s v="Achmad Indrawanto"/>
    <m/>
    <s v="N/A"/>
  </r>
  <r>
    <m/>
    <x v="4"/>
    <m/>
    <s v="MF-FP.24767"/>
    <m/>
    <s v="MF-ST.22258"/>
    <m/>
    <d v="2026-04-28T00:00:00"/>
    <m/>
    <s v="Umum"/>
    <m/>
    <s v="C.12995"/>
    <m/>
    <s v="PAK DJATUR BUDIANTO"/>
    <m/>
    <s v="HANIF"/>
    <m/>
    <s v="SERVICE HANDPHONE"/>
    <m/>
    <x v="0"/>
    <m/>
    <s v="MUSTOFA"/>
    <m/>
    <x v="1"/>
    <m/>
    <s v="HANIF"/>
    <m/>
    <s v="LCD"/>
    <m/>
    <s v="SAMSUNG"/>
    <m/>
    <s v="a30s"/>
    <m/>
    <s v="JASA71"/>
    <m/>
    <s v="JASA REPAIR"/>
    <m/>
    <n v="0"/>
    <m/>
    <n v="1"/>
    <m/>
    <n v="250000"/>
    <m/>
    <n v="250000"/>
    <m/>
    <m/>
    <m/>
    <s v="N/A"/>
  </r>
  <r>
    <m/>
    <x v="4"/>
    <m/>
    <s v="MF-FP.24767"/>
    <m/>
    <s v="MF-ST.22258"/>
    <m/>
    <d v="2026-04-28T00:00:00"/>
    <m/>
    <s v="Umum"/>
    <m/>
    <s v="C.12995"/>
    <m/>
    <s v="PAK DJATUR BUDIANTO"/>
    <m/>
    <s v="HANIF"/>
    <m/>
    <s v="SERVICE HANDPHONE"/>
    <m/>
    <x v="1"/>
    <m/>
    <s v="MUSTOFA"/>
    <m/>
    <x v="1"/>
    <m/>
    <s v="HANIF"/>
    <m/>
    <s v="LCD"/>
    <m/>
    <s v="SAMSUNG"/>
    <m/>
    <s v="a30s"/>
    <m/>
    <s v="106502"/>
    <m/>
    <s v="LCD.. SAM A30S INCEL + FRAME B"/>
    <m/>
    <n v="150000"/>
    <m/>
    <n v="1"/>
    <m/>
    <n v="230000"/>
    <m/>
    <n v="230000"/>
    <m/>
    <m/>
    <m/>
    <s v="N/A"/>
  </r>
  <r>
    <m/>
    <x v="4"/>
    <m/>
    <s v="MF-FP.24767"/>
    <m/>
    <s v="MF-ST.22258"/>
    <m/>
    <d v="2026-04-28T00:00:00"/>
    <m/>
    <s v="Umum"/>
    <m/>
    <s v="C.12995"/>
    <m/>
    <s v="PAK DJATUR BUDIANTO"/>
    <m/>
    <s v="HANIF"/>
    <m/>
    <s v="SERVICE HANDPHONE"/>
    <m/>
    <x v="2"/>
    <m/>
    <s v="MUSTOFA"/>
    <m/>
    <x v="1"/>
    <m/>
    <s v="HANIF"/>
    <m/>
    <s v="LCD"/>
    <m/>
    <s v="SAMSUNG"/>
    <m/>
    <s v="a30s"/>
    <m/>
    <s v="100025"/>
    <m/>
    <s v="VIVAN HYDROGEL BASIC CRYSTAL CLEAR VSP01T"/>
    <m/>
    <n v="11151.582562"/>
    <m/>
    <n v="1"/>
    <m/>
    <n v="20000"/>
    <m/>
    <n v="20000"/>
    <m/>
    <m/>
    <m/>
    <s v="N/A"/>
  </r>
  <r>
    <m/>
    <x v="4"/>
    <m/>
    <s v="MF-FP.24778"/>
    <m/>
    <s v="MF-ST.21923"/>
    <m/>
    <d v="2026-04-15T00:00:00"/>
    <m/>
    <s v="Member Reguler"/>
    <m/>
    <s v="C.05375"/>
    <m/>
    <s v="BAYU"/>
    <m/>
    <s v="Achmad Indrawanto"/>
    <m/>
    <s v="SERVICE HANDPHONE"/>
    <m/>
    <x v="0"/>
    <m/>
    <s v="EKO RISDIYANTORO JATIMULYA"/>
    <m/>
    <x v="2"/>
    <m/>
    <s v="Achmad Indrawanto"/>
    <m/>
    <s v="REPAIR"/>
    <m/>
    <s v="REALME"/>
    <m/>
    <s v="REALME C20"/>
    <m/>
    <s v="JASA71"/>
    <m/>
    <s v="JASA REPAIR"/>
    <m/>
    <n v="0"/>
    <m/>
    <n v="1"/>
    <m/>
    <n v="250000"/>
    <m/>
    <n v="250000"/>
    <m/>
    <s v="Achmad Indrawanto"/>
    <m/>
    <s v="N/A"/>
  </r>
  <r>
    <m/>
    <x v="4"/>
    <m/>
    <s v="MF-FP.24778"/>
    <m/>
    <s v="MF-ST.21923"/>
    <m/>
    <d v="2026-04-15T00:00:00"/>
    <m/>
    <s v="Member Reguler"/>
    <m/>
    <s v="C.05375"/>
    <m/>
    <s v="BAYU"/>
    <m/>
    <s v="Achmad Indrawanto"/>
    <m/>
    <s v="SERVICE HANDPHONE"/>
    <m/>
    <x v="2"/>
    <m/>
    <s v="EKO RISDIYANTORO JATIMULYA"/>
    <m/>
    <x v="2"/>
    <m/>
    <s v="Achmad Indrawanto"/>
    <m/>
    <s v="REPAIR"/>
    <m/>
    <s v="REALME"/>
    <m/>
    <s v="REALME C20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4"/>
    <m/>
    <s v="MF-FP.24778"/>
    <m/>
    <s v="MF-ST.21923"/>
    <m/>
    <d v="2026-04-15T00:00:00"/>
    <m/>
    <s v="Member Reguler"/>
    <m/>
    <s v="C.05375"/>
    <m/>
    <s v="BAYU"/>
    <m/>
    <s v="Achmad Indrawanto"/>
    <m/>
    <s v="SERVICE HANDPHONE"/>
    <m/>
    <x v="1"/>
    <m/>
    <s v="EKO RISDIYANTORO JATIMULYA"/>
    <m/>
    <x v="2"/>
    <m/>
    <s v="Achmad Indrawanto"/>
    <m/>
    <s v="REPAIR"/>
    <m/>
    <s v="REALME"/>
    <m/>
    <s v="REALME C20"/>
    <m/>
    <s v="107227"/>
    <m/>
    <s v="MESIN RLM C20"/>
    <m/>
    <n v="297000"/>
    <m/>
    <n v="1"/>
    <m/>
    <n v="375000"/>
    <m/>
    <n v="375000"/>
    <m/>
    <s v="Achmad Indrawanto"/>
    <m/>
    <s v="N/A"/>
  </r>
  <r>
    <m/>
    <x v="5"/>
    <m/>
    <s v="MF-FP.24779"/>
    <m/>
    <s v="MF-ST.22249"/>
    <m/>
    <d v="2026-04-27T00:00:00"/>
    <m/>
    <s v="Umum"/>
    <m/>
    <s v="C.06673"/>
    <m/>
    <s v="BAPAK ANCAN"/>
    <m/>
    <s v="HANIF"/>
    <m/>
    <s v="SERVICE HANDPHONE"/>
    <m/>
    <x v="0"/>
    <m/>
    <s v="YUVI NOFERIANTO"/>
    <m/>
    <x v="4"/>
    <m/>
    <s v="HANIF"/>
    <m/>
    <s v="LCD"/>
    <m/>
    <s v="OPPO"/>
    <m/>
    <s v="Oppo a60"/>
    <m/>
    <s v="JASA71"/>
    <m/>
    <s v="JASA REPAIR"/>
    <m/>
    <n v="0"/>
    <m/>
    <n v="1"/>
    <m/>
    <n v="210000"/>
    <m/>
    <n v="210000"/>
    <m/>
    <m/>
    <m/>
    <s v="N/A"/>
  </r>
  <r>
    <m/>
    <x v="5"/>
    <m/>
    <s v="MF-FP.24779"/>
    <m/>
    <s v="MF-ST.22249"/>
    <m/>
    <d v="2026-04-27T00:00:00"/>
    <m/>
    <s v="Umum"/>
    <m/>
    <s v="C.06673"/>
    <m/>
    <s v="BAPAK ANCAN"/>
    <m/>
    <s v="HANIF"/>
    <m/>
    <s v="SERVICE HANDPHONE"/>
    <m/>
    <x v="1"/>
    <m/>
    <s v="YUVI NOFERIANTO"/>
    <m/>
    <x v="4"/>
    <m/>
    <s v="HANIF"/>
    <m/>
    <s v="LCD"/>
    <m/>
    <s v="OPPO"/>
    <m/>
    <s v="Oppo a60"/>
    <m/>
    <s v="105057"/>
    <m/>
    <s v="LCD.. RLM C65/OPP A60 / OPP A80 / OPP A3 5G / OPP A3 PRO B"/>
    <m/>
    <n v="98938.398757000003"/>
    <m/>
    <n v="1"/>
    <m/>
    <n v="220000"/>
    <m/>
    <n v="220000"/>
    <m/>
    <m/>
    <m/>
    <s v="N/A"/>
  </r>
  <r>
    <m/>
    <x v="5"/>
    <m/>
    <s v="MF-FP.24779"/>
    <m/>
    <s v="MF-ST.22249"/>
    <m/>
    <d v="2026-04-27T00:00:00"/>
    <m/>
    <s v="Umum"/>
    <m/>
    <s v="C.06673"/>
    <m/>
    <s v="BAPAK ANCAN"/>
    <m/>
    <s v="HANIF"/>
    <m/>
    <s v="SERVICE HANDPHONE"/>
    <m/>
    <x v="2"/>
    <m/>
    <s v="YUVI NOFERIANTO"/>
    <m/>
    <x v="4"/>
    <m/>
    <s v="HANIF"/>
    <m/>
    <s v="LCD"/>
    <m/>
    <s v="OPPO"/>
    <m/>
    <s v="Oppo a60"/>
    <m/>
    <s v="100025"/>
    <m/>
    <s v="VIVAN HYDROGEL BASIC CRYSTAL CLEAR VSP01T"/>
    <m/>
    <n v="11151.582562"/>
    <m/>
    <n v="1"/>
    <m/>
    <n v="20000"/>
    <m/>
    <n v="20000"/>
    <m/>
    <m/>
    <m/>
    <s v="N/A"/>
  </r>
  <r>
    <m/>
    <x v="5"/>
    <m/>
    <s v="MF-FP.24783"/>
    <m/>
    <s v="MF-ST.22272"/>
    <m/>
    <d v="2026-04-29T00:00:00"/>
    <m/>
    <s v="Member Reguler"/>
    <m/>
    <s v="C.13118"/>
    <m/>
    <s v="Yogi"/>
    <m/>
    <s v="HANIF"/>
    <m/>
    <s v="SERVICE HANDPHONE"/>
    <m/>
    <x v="0"/>
    <m/>
    <s v="EKO RISDIYANTORO JATIMULYA"/>
    <m/>
    <x v="2"/>
    <m/>
    <s v="HANIF"/>
    <m/>
    <s v="REPAIR"/>
    <m/>
    <s v="XIAOMI"/>
    <m/>
    <s v="redmi a3"/>
    <m/>
    <s v="JASA71"/>
    <m/>
    <s v="JASA REPAIR"/>
    <m/>
    <n v="0"/>
    <m/>
    <n v="1"/>
    <m/>
    <n v="150000"/>
    <m/>
    <n v="150000"/>
    <m/>
    <m/>
    <m/>
    <s v="N/A"/>
  </r>
  <r>
    <m/>
    <x v="5"/>
    <m/>
    <s v="MF-FP.24781"/>
    <m/>
    <s v="MF-ST.22229"/>
    <m/>
    <d v="2026-04-27T00:00:00"/>
    <m/>
    <s v="Umum"/>
    <m/>
    <s v="C.13105"/>
    <m/>
    <s v="LANTIP"/>
    <m/>
    <s v="HANIF"/>
    <m/>
    <s v="SERVICE HANDPHONE"/>
    <m/>
    <x v="0"/>
    <m/>
    <s v="MUSTOFA"/>
    <m/>
    <x v="1"/>
    <m/>
    <s v="HANIF"/>
    <m/>
    <s v="LCD"/>
    <m/>
    <s v="HUAWEI"/>
    <m/>
    <s v="Huawei nova 5t"/>
    <m/>
    <s v="JASA71"/>
    <m/>
    <s v="JASA REPAIR"/>
    <m/>
    <n v="0"/>
    <m/>
    <n v="1"/>
    <m/>
    <n v="220000"/>
    <m/>
    <n v="220000"/>
    <m/>
    <m/>
    <m/>
    <s v="N/A"/>
  </r>
  <r>
    <m/>
    <x v="5"/>
    <m/>
    <s v="MF-FP.24781"/>
    <m/>
    <s v="MF-ST.22229"/>
    <m/>
    <d v="2026-04-27T00:00:00"/>
    <m/>
    <s v="Umum"/>
    <m/>
    <s v="C.13105"/>
    <m/>
    <s v="LANTIP"/>
    <m/>
    <s v="HANIF"/>
    <m/>
    <s v="SERVICE HANDPHONE"/>
    <m/>
    <x v="1"/>
    <m/>
    <s v="MUSTOFA"/>
    <m/>
    <x v="1"/>
    <m/>
    <s v="HANIF"/>
    <m/>
    <s v="LCD"/>
    <m/>
    <s v="HUAWEI"/>
    <m/>
    <s v="Huawei nova 5t"/>
    <m/>
    <s v="104993"/>
    <m/>
    <s v="LCD.. HUAWEI NOVA 5T/HONOR 20/HONOR 20 PRO"/>
    <m/>
    <n v="146192.975878"/>
    <m/>
    <n v="1"/>
    <m/>
    <n v="205000"/>
    <m/>
    <n v="205000"/>
    <m/>
    <m/>
    <m/>
    <s v="N/A"/>
  </r>
  <r>
    <m/>
    <x v="5"/>
    <m/>
    <s v="MF-FP.24781"/>
    <m/>
    <s v="MF-ST.22229"/>
    <m/>
    <d v="2026-04-27T00:00:00"/>
    <m/>
    <s v="Umum"/>
    <m/>
    <s v="C.13105"/>
    <m/>
    <s v="LANTIP"/>
    <m/>
    <s v="HANIF"/>
    <m/>
    <s v="SERVICE HANDPHONE"/>
    <m/>
    <x v="2"/>
    <m/>
    <s v="MUSTOFA"/>
    <m/>
    <x v="1"/>
    <m/>
    <s v="HANIF"/>
    <m/>
    <s v="LCD"/>
    <m/>
    <s v="HUAWEI"/>
    <m/>
    <s v="Huawei nova 5t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5"/>
    <m/>
    <s v="MF-FP.24785"/>
    <m/>
    <s v="MF-ST.21581"/>
    <m/>
    <d v="2026-04-04T00:00:00"/>
    <m/>
    <s v="Member Reguler"/>
    <m/>
    <s v="C.12805"/>
    <m/>
    <s v="SUPRIYADI"/>
    <m/>
    <s v="ARI MARWAN"/>
    <m/>
    <s v="SERVICE LAPTOP"/>
    <m/>
    <x v="0"/>
    <m/>
    <s v="ABDUL MUNAJAT"/>
    <m/>
    <x v="3"/>
    <m/>
    <s v="HANIF"/>
    <m/>
    <s v="SOFTWARE"/>
    <m/>
    <s v="HP"/>
    <m/>
    <s v="VICTUS"/>
    <m/>
    <s v="JASA71"/>
    <m/>
    <s v="JASA REPAIR"/>
    <m/>
    <n v="0"/>
    <m/>
    <n v="1"/>
    <m/>
    <n v="1180000"/>
    <m/>
    <n v="1180000"/>
    <m/>
    <s v="ARI MARWAN"/>
    <m/>
    <s v="N/A"/>
  </r>
  <r>
    <m/>
    <x v="5"/>
    <m/>
    <s v="MF-FP.24782"/>
    <m/>
    <s v="MF-ST.22271"/>
    <m/>
    <d v="2026-04-29T00:00:00"/>
    <m/>
    <s v="Umum"/>
    <m/>
    <s v="C.00000"/>
    <m/>
    <s v="Pelanggan Umum"/>
    <m/>
    <s v="HANIF"/>
    <m/>
    <s v="SERVICE HANDPHONE"/>
    <m/>
    <x v="0"/>
    <m/>
    <s v="EKO RISDIYANTORO JATIMULYA"/>
    <m/>
    <x v="2"/>
    <m/>
    <s v="HANIF"/>
    <m/>
    <s v="REPAIR"/>
    <m/>
    <s v="BELUM ADA MERK"/>
    <m/>
    <s v="N/A"/>
    <m/>
    <s v="JASA71"/>
    <m/>
    <s v="JASA REPAIR"/>
    <m/>
    <n v="0"/>
    <m/>
    <n v="1"/>
    <m/>
    <n v="35000"/>
    <m/>
    <n v="35000"/>
    <m/>
    <m/>
    <m/>
    <s v="N/A"/>
  </r>
  <r>
    <m/>
    <x v="5"/>
    <m/>
    <s v="MF-FP.24784"/>
    <m/>
    <s v="MF-ST.22274"/>
    <m/>
    <d v="2026-04-29T00:00:00"/>
    <m/>
    <s v="Member Reguler"/>
    <m/>
    <s v="MR1109081"/>
    <m/>
    <s v="BANG RAHMAT"/>
    <m/>
    <s v="HANIF"/>
    <m/>
    <s v="SERVICE HANDPHONE"/>
    <m/>
    <x v="0"/>
    <m/>
    <s v="ARI MARWAN"/>
    <m/>
    <x v="0"/>
    <m/>
    <s v="HANIF"/>
    <m/>
    <s v="REPAIR"/>
    <m/>
    <s v="SAMSUNG"/>
    <m/>
    <s v="Samsung S9 plus"/>
    <m/>
    <s v="JASA71"/>
    <m/>
    <s v="JASA REPAIR"/>
    <m/>
    <n v="0"/>
    <m/>
    <n v="1"/>
    <m/>
    <n v="50000"/>
    <m/>
    <n v="50000"/>
    <m/>
    <s v="MUHAMMAD RIZVANZAH ALFATH"/>
    <m/>
    <s v="N/A"/>
  </r>
  <r>
    <m/>
    <x v="5"/>
    <m/>
    <s v="MF-FP.24785"/>
    <m/>
    <s v="MF-ST.21581"/>
    <m/>
    <d v="2026-04-04T00:00:00"/>
    <m/>
    <s v="Member Reguler"/>
    <m/>
    <s v="C.12805"/>
    <m/>
    <s v="SUPRIYADI"/>
    <m/>
    <s v="ARI MARWAN"/>
    <m/>
    <s v="SERVICE LAPTOP"/>
    <m/>
    <x v="2"/>
    <m/>
    <s v="ABDUL MUNAJAT"/>
    <m/>
    <x v="3"/>
    <m/>
    <s v="HANIF"/>
    <m/>
    <s v="SOFTWARE"/>
    <m/>
    <s v="HP"/>
    <m/>
    <s v="VICTUS"/>
    <m/>
    <s v="AKOR-014"/>
    <m/>
    <s v="ORAIMO CABLE TYPE-C 2A OCD-114C"/>
    <m/>
    <n v="15000"/>
    <m/>
    <n v="1"/>
    <m/>
    <n v="20000"/>
    <m/>
    <n v="20000"/>
    <m/>
    <s v="ARI MARWAN"/>
    <m/>
    <s v="N/A"/>
  </r>
  <r>
    <m/>
    <x v="5"/>
    <m/>
    <s v="MF-FP.24787"/>
    <m/>
    <s v="MF-ST.22276"/>
    <m/>
    <d v="2026-04-29T00:00:00"/>
    <m/>
    <s v="Umum"/>
    <m/>
    <s v="C.13120"/>
    <m/>
    <s v="MUHAMMAD ENDAM"/>
    <m/>
    <s v="WAHYU PRATAMA"/>
    <m/>
    <s v="SERVICE HANDPHONE"/>
    <m/>
    <x v="0"/>
    <m/>
    <s v="EKO RISDIYANTORO JATIMULYA"/>
    <m/>
    <x v="2"/>
    <m/>
    <s v="WAHYU PRATAMA"/>
    <m/>
    <s v="LCD"/>
    <m/>
    <s v="OPPO"/>
    <m/>
    <s v="A60"/>
    <m/>
    <s v="JASA71"/>
    <m/>
    <s v="JASA REPAIR"/>
    <m/>
    <n v="0"/>
    <m/>
    <n v="1"/>
    <m/>
    <n v="175000"/>
    <m/>
    <n v="175000"/>
    <m/>
    <m/>
    <m/>
    <s v="N/A"/>
  </r>
  <r>
    <m/>
    <x v="5"/>
    <m/>
    <s v="MF-FP.24787"/>
    <m/>
    <s v="MF-ST.22276"/>
    <m/>
    <d v="2026-04-29T00:00:00"/>
    <m/>
    <s v="Umum"/>
    <m/>
    <s v="C.13120"/>
    <m/>
    <s v="MUHAMMAD ENDAM"/>
    <m/>
    <s v="WAHYU PRATAMA"/>
    <m/>
    <s v="SERVICE HANDPHONE"/>
    <m/>
    <x v="1"/>
    <m/>
    <s v="EKO RISDIYANTORO JATIMULYA"/>
    <m/>
    <x v="2"/>
    <m/>
    <s v="WAHYU PRATAMA"/>
    <m/>
    <s v="LCD"/>
    <m/>
    <s v="OPPO"/>
    <m/>
    <s v="A60"/>
    <m/>
    <s v="105057"/>
    <m/>
    <s v="LCD.. RLM C65/OPP A60 / OPP A80 / OPP A3 5G / OPP A3 PRO B"/>
    <m/>
    <n v="98938.398757000003"/>
    <m/>
    <n v="1"/>
    <m/>
    <n v="200000"/>
    <m/>
    <n v="200000"/>
    <m/>
    <m/>
    <m/>
    <s v="N/A"/>
  </r>
  <r>
    <m/>
    <x v="5"/>
    <m/>
    <s v="MF-FP.24787"/>
    <m/>
    <s v="MF-ST.22276"/>
    <m/>
    <d v="2026-04-29T00:00:00"/>
    <m/>
    <s v="Umum"/>
    <m/>
    <s v="C.13120"/>
    <m/>
    <s v="MUHAMMAD ENDAM"/>
    <m/>
    <s v="WAHYU PRATAMA"/>
    <m/>
    <s v="SERVICE HANDPHONE"/>
    <m/>
    <x v="2"/>
    <m/>
    <s v="EKO RISDIYANTORO JATIMULYA"/>
    <m/>
    <x v="2"/>
    <m/>
    <s v="WAHYU PRATAMA"/>
    <m/>
    <s v="LCD"/>
    <m/>
    <s v="OPPO"/>
    <m/>
    <s v="A60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5"/>
    <m/>
    <s v="MF-FP.24793"/>
    <m/>
    <s v="MF-ST.22277"/>
    <m/>
    <d v="2026-04-29T00:00:00"/>
    <m/>
    <s v="Umum"/>
    <m/>
    <s v="C.11667"/>
    <m/>
    <s v="RICO"/>
    <m/>
    <s v="WAHYU PRATAMA"/>
    <m/>
    <s v="SERVICE HANDPHONE"/>
    <m/>
    <x v="0"/>
    <m/>
    <s v="MUSTOFA"/>
    <m/>
    <x v="1"/>
    <m/>
    <s v="WAHYU PRATAMA"/>
    <m/>
    <s v="LCD"/>
    <m/>
    <s v="SAMSUNG"/>
    <m/>
    <s v="A51"/>
    <m/>
    <s v="JASA71"/>
    <m/>
    <s v="JASA REPAIR"/>
    <m/>
    <n v="0"/>
    <m/>
    <n v="1"/>
    <m/>
    <n v="175000"/>
    <m/>
    <n v="175000"/>
    <m/>
    <m/>
    <m/>
    <s v="N/A"/>
  </r>
  <r>
    <m/>
    <x v="5"/>
    <m/>
    <s v="MF-FP.24793"/>
    <m/>
    <s v="MF-ST.22277"/>
    <m/>
    <d v="2026-04-29T00:00:00"/>
    <m/>
    <s v="Umum"/>
    <m/>
    <s v="C.11667"/>
    <m/>
    <s v="RICO"/>
    <m/>
    <s v="WAHYU PRATAMA"/>
    <m/>
    <s v="SERVICE HANDPHONE"/>
    <m/>
    <x v="1"/>
    <m/>
    <s v="MUSTOFA"/>
    <m/>
    <x v="1"/>
    <m/>
    <s v="WAHYU PRATAMA"/>
    <m/>
    <s v="LCD"/>
    <m/>
    <s v="SAMSUNG"/>
    <m/>
    <s v="A51"/>
    <m/>
    <s v="100173"/>
    <m/>
    <s v="LCD.. SAM A51 A515 A515F B"/>
    <m/>
    <n v="164590.95454499999"/>
    <m/>
    <n v="1"/>
    <m/>
    <n v="235000"/>
    <m/>
    <n v="235000"/>
    <m/>
    <m/>
    <m/>
    <s v="N/A"/>
  </r>
  <r>
    <m/>
    <x v="5"/>
    <m/>
    <s v="MF-FP.24793"/>
    <m/>
    <s v="MF-ST.22277"/>
    <m/>
    <d v="2026-04-29T00:00:00"/>
    <m/>
    <s v="Umum"/>
    <m/>
    <s v="C.11667"/>
    <m/>
    <s v="RICO"/>
    <m/>
    <s v="WAHYU PRATAMA"/>
    <m/>
    <s v="SERVICE HANDPHONE"/>
    <m/>
    <x v="2"/>
    <m/>
    <s v="MUSTOFA"/>
    <m/>
    <x v="1"/>
    <m/>
    <s v="WAHYU PRATAMA"/>
    <m/>
    <s v="LCD"/>
    <m/>
    <s v="SAMSUNG"/>
    <m/>
    <s v="A51"/>
    <m/>
    <s v="AKOR-014"/>
    <m/>
    <s v="ORAIMO CABLE TYPE-C 2A OCD-114C"/>
    <m/>
    <n v="15000"/>
    <m/>
    <n v="1"/>
    <m/>
    <n v="15000"/>
    <m/>
    <n v="15000"/>
    <m/>
    <m/>
    <m/>
    <s v="N/A"/>
  </r>
  <r>
    <m/>
    <x v="5"/>
    <m/>
    <s v="MF-FP.24789"/>
    <m/>
    <s v="MF-ST.22275"/>
    <m/>
    <d v="2026-04-29T00:00:00"/>
    <m/>
    <s v="Umum"/>
    <m/>
    <s v="C.13119"/>
    <m/>
    <s v="ABIL"/>
    <m/>
    <s v="WAHYU PRATAMA"/>
    <m/>
    <s v="SERVICE LAPTOP"/>
    <m/>
    <x v="0"/>
    <m/>
    <s v="ARIFIN SANTOSO JATIMULYA"/>
    <m/>
    <x v="6"/>
    <m/>
    <s v="WAHYU PRATAMA"/>
    <m/>
    <s v="CLEAN UP"/>
    <m/>
    <s v="ASUS"/>
    <m/>
    <s v="Asus gl503g"/>
    <m/>
    <s v="JASA8"/>
    <m/>
    <s v="JASA CLEANUP"/>
    <m/>
    <n v="0"/>
    <m/>
    <n v="1"/>
    <m/>
    <n v="335000"/>
    <m/>
    <n v="335000"/>
    <m/>
    <m/>
    <m/>
    <s v="N/A"/>
  </r>
  <r>
    <m/>
    <x v="5"/>
    <m/>
    <s v="MF-FP.24789"/>
    <m/>
    <s v="MF-ST.22275"/>
    <m/>
    <d v="2026-04-29T00:00:00"/>
    <m/>
    <s v="Umum"/>
    <m/>
    <s v="C.13119"/>
    <m/>
    <s v="ABIL"/>
    <m/>
    <s v="WAHYU PRATAMA"/>
    <m/>
    <s v="SERVICE LAPTOP"/>
    <m/>
    <x v="2"/>
    <m/>
    <s v="ARIFIN SANTOSO JATIMULYA"/>
    <m/>
    <x v="6"/>
    <m/>
    <s v="WAHYU PRATAMA"/>
    <m/>
    <s v="CLEAN UP"/>
    <m/>
    <s v="ASUS"/>
    <m/>
    <s v="Asus gl503g"/>
    <m/>
    <s v="AKOR-014"/>
    <m/>
    <s v="ORAIMO CABLE TYPE-C 2A OCD-114C"/>
    <m/>
    <n v="15000"/>
    <m/>
    <n v="1"/>
    <m/>
    <n v="15000"/>
    <m/>
    <n v="15000"/>
    <m/>
    <m/>
    <m/>
    <s v="N/A"/>
  </r>
  <r>
    <m/>
    <x v="5"/>
    <m/>
    <s v="MF-FP.24788"/>
    <m/>
    <s v="MF-ST.21731"/>
    <m/>
    <d v="2026-04-08T00:00:00"/>
    <m/>
    <s v="Umum"/>
    <m/>
    <s v="C.12878"/>
    <m/>
    <s v="WIWIT"/>
    <m/>
    <s v="HANIF"/>
    <m/>
    <s v="SERVICE HANDPHONE"/>
    <m/>
    <x v="0"/>
    <m/>
    <s v="EKO RISDIYANTORO JATIMULYA"/>
    <m/>
    <x v="2"/>
    <m/>
    <s v="WAHYU PRATAMA"/>
    <m/>
    <s v="REPAIR"/>
    <m/>
    <s v="OPPO"/>
    <m/>
    <s v="Oppo a5 2020"/>
    <m/>
    <s v="JASA71"/>
    <m/>
    <s v="JASA REPAIR"/>
    <m/>
    <n v="0"/>
    <m/>
    <n v="1"/>
    <m/>
    <n v="35000"/>
    <m/>
    <n v="35000"/>
    <m/>
    <m/>
    <m/>
    <s v="N/A"/>
  </r>
  <r>
    <m/>
    <x v="5"/>
    <m/>
    <s v="MF-FP.24788"/>
    <m/>
    <s v="MF-ST.21731"/>
    <m/>
    <d v="2026-04-08T00:00:00"/>
    <m/>
    <s v="Umum"/>
    <m/>
    <s v="C.12878"/>
    <m/>
    <s v="WIWIT"/>
    <m/>
    <s v="HANIF"/>
    <m/>
    <s v="SERVICE HANDPHONE"/>
    <m/>
    <x v="1"/>
    <m/>
    <s v="EKO RISDIYANTORO JATIMULYA"/>
    <m/>
    <x v="2"/>
    <m/>
    <s v="WAHYU PRATAMA"/>
    <m/>
    <s v="REPAIR"/>
    <m/>
    <s v="OPPO"/>
    <m/>
    <s v="Oppo a5 2020"/>
    <m/>
    <s v="107209"/>
    <m/>
    <s v="MESIN OPP A5 2020"/>
    <m/>
    <n v="574000"/>
    <m/>
    <n v="1"/>
    <m/>
    <n v="600000"/>
    <m/>
    <n v="600000"/>
    <m/>
    <m/>
    <m/>
    <s v="N/A"/>
  </r>
  <r>
    <m/>
    <x v="5"/>
    <m/>
    <s v="MF-FP.24788"/>
    <m/>
    <s v="MF-ST.21731"/>
    <m/>
    <d v="2026-04-08T00:00:00"/>
    <m/>
    <s v="Umum"/>
    <m/>
    <s v="C.12878"/>
    <m/>
    <s v="WIWIT"/>
    <m/>
    <s v="HANIF"/>
    <m/>
    <s v="SERVICE HANDPHONE"/>
    <m/>
    <x v="2"/>
    <m/>
    <s v="EKO RISDIYANTORO JATIMULYA"/>
    <m/>
    <x v="2"/>
    <m/>
    <s v="WAHYU PRATAMA"/>
    <m/>
    <s v="REPAIR"/>
    <m/>
    <s v="OPPO"/>
    <m/>
    <s v="Oppo a5 2020"/>
    <m/>
    <s v="AKOR-014"/>
    <m/>
    <s v="ORAIMO CABLE TYPE-C 2A OCD-114C"/>
    <m/>
    <n v="15000"/>
    <m/>
    <n v="1"/>
    <m/>
    <n v="15000"/>
    <m/>
    <n v="15000"/>
    <m/>
    <m/>
    <m/>
    <s v="N/A"/>
  </r>
  <r>
    <m/>
    <x v="5"/>
    <m/>
    <s v="MF-FP.24790"/>
    <m/>
    <s v="MF-ST.22278"/>
    <m/>
    <d v="2026-04-29T00:00:00"/>
    <m/>
    <s v="Umum"/>
    <m/>
    <s v="C.13121"/>
    <m/>
    <s v="PT. JTCC"/>
    <m/>
    <s v="WAHYU PRATAMA"/>
    <m/>
    <s v="SERVICE LAPTOP"/>
    <m/>
    <x v="0"/>
    <m/>
    <s v="ARIFIN SANTOSO JATIMULYA"/>
    <m/>
    <x v="6"/>
    <m/>
    <s v="WAHYU PRATAMA"/>
    <m/>
    <s v="KEYBOARD"/>
    <m/>
    <s v="XIAOMI"/>
    <m/>
    <s v="REDMI BOOK 15"/>
    <m/>
    <s v="JASA71"/>
    <m/>
    <s v="JASA REPAIR"/>
    <m/>
    <n v="0"/>
    <m/>
    <n v="1"/>
    <m/>
    <n v="775000"/>
    <m/>
    <n v="775000"/>
    <m/>
    <m/>
    <m/>
    <s v="N/A"/>
  </r>
  <r>
    <m/>
    <x v="5"/>
    <m/>
    <s v="MF-FP.24790"/>
    <m/>
    <s v="MF-ST.22278"/>
    <m/>
    <d v="2026-04-29T00:00:00"/>
    <m/>
    <s v="Umum"/>
    <m/>
    <s v="C.13121"/>
    <m/>
    <s v="PT. JTCC"/>
    <m/>
    <s v="WAHYU PRATAMA"/>
    <m/>
    <s v="SERVICE LAPTOP"/>
    <m/>
    <x v="1"/>
    <m/>
    <s v="ARIFIN SANTOSO JATIMULYA"/>
    <m/>
    <x v="6"/>
    <m/>
    <s v="WAHYU PRATAMA"/>
    <m/>
    <s v="KEYBOARD"/>
    <m/>
    <s v="XIAOMI"/>
    <m/>
    <s v="REDMI BOOK 15"/>
    <m/>
    <s v="107233"/>
    <m/>
    <s v="KYBRD REDMI BOOK 15"/>
    <m/>
    <n v="297348.48484799999"/>
    <m/>
    <n v="1"/>
    <m/>
    <n v="325000"/>
    <m/>
    <n v="325000"/>
    <m/>
    <m/>
    <m/>
    <s v="N/A"/>
  </r>
  <r>
    <m/>
    <x v="5"/>
    <m/>
    <s v="MF-FP.24791"/>
    <m/>
    <s v="MF-ST.22279"/>
    <m/>
    <d v="2026-04-29T00:00:00"/>
    <m/>
    <s v="Umum"/>
    <m/>
    <s v="C.13121"/>
    <m/>
    <s v="PT. JTCC"/>
    <m/>
    <s v="WAHYU PRATAMA"/>
    <m/>
    <s v="SERVICE CPU"/>
    <m/>
    <x v="0"/>
    <m/>
    <s v="ARIFIN SANTOSO JATIMULYA"/>
    <m/>
    <x v="6"/>
    <m/>
    <s v="WAHYU PRATAMA"/>
    <m/>
    <s v="SSD"/>
    <m/>
    <s v="BELUM ADA MERK"/>
    <m/>
    <s v="BLACK VENOM"/>
    <m/>
    <s v="JASA71"/>
    <m/>
    <s v="JASA REPAIR"/>
    <m/>
    <n v="0"/>
    <m/>
    <n v="1"/>
    <m/>
    <n v="650000"/>
    <m/>
    <n v="650000"/>
    <m/>
    <m/>
    <m/>
    <s v="N/A"/>
  </r>
  <r>
    <m/>
    <x v="5"/>
    <m/>
    <s v="MF-FP.24791"/>
    <m/>
    <s v="MF-ST.22279"/>
    <m/>
    <d v="2026-04-29T00:00:00"/>
    <m/>
    <s v="Umum"/>
    <m/>
    <s v="C.13121"/>
    <m/>
    <s v="PT. JTCC"/>
    <m/>
    <s v="WAHYU PRATAMA"/>
    <m/>
    <s v="SERVICE CPU"/>
    <m/>
    <x v="1"/>
    <m/>
    <s v="ARIFIN SANTOSO JATIMULYA"/>
    <m/>
    <x v="6"/>
    <m/>
    <s v="WAHYU PRATAMA"/>
    <m/>
    <s v="SSD"/>
    <m/>
    <s v="BELUM ADA MERK"/>
    <m/>
    <s v="BLACK VENOM"/>
    <m/>
    <s v="105640"/>
    <m/>
    <s v="VGEN SSD SATA III PLATINUM 128GB"/>
    <m/>
    <n v="432416.93722899997"/>
    <m/>
    <n v="1"/>
    <m/>
    <n v="550000"/>
    <m/>
    <n v="550000"/>
    <m/>
    <m/>
    <m/>
    <s v="N/A"/>
  </r>
  <r>
    <m/>
    <x v="5"/>
    <m/>
    <s v="MF-FP.24792"/>
    <m/>
    <s v="MF-ST.22281"/>
    <m/>
    <d v="2026-04-29T00:00:00"/>
    <m/>
    <s v="Umum"/>
    <m/>
    <s v="C.00000"/>
    <m/>
    <s v="Pelanggan Umum"/>
    <m/>
    <s v="WAHYU PRATAMA"/>
    <m/>
    <s v="PENJUALAN SPAREPART"/>
    <m/>
    <x v="1"/>
    <m/>
    <s v="N/A"/>
    <m/>
    <x v="5"/>
    <m/>
    <s v="WAHYU PRATAMA"/>
    <m/>
    <s v="REPAIR"/>
    <m/>
    <s v="SAMSUNG"/>
    <m/>
    <s v="SAM"/>
    <m/>
    <s v="102179"/>
    <m/>
    <s v="BATER CMOS LPT CR2032 3V"/>
    <m/>
    <n v="5339.6739129999996"/>
    <m/>
    <n v="1"/>
    <m/>
    <n v="15000"/>
    <m/>
    <n v="15000"/>
    <m/>
    <m/>
    <m/>
    <s v="N/A"/>
  </r>
  <r>
    <m/>
    <x v="5"/>
    <m/>
    <s v="MF-FP.24793"/>
    <m/>
    <s v="MF-ST.22277"/>
    <m/>
    <d v="2026-04-29T00:00:00"/>
    <m/>
    <s v="Umum"/>
    <m/>
    <s v="C.11667"/>
    <m/>
    <s v="RICO"/>
    <m/>
    <s v="WAHYU PRATAMA"/>
    <m/>
    <s v="SERVICE HANDPHONE"/>
    <m/>
    <x v="2"/>
    <m/>
    <s v="MUSTOFA"/>
    <m/>
    <x v="1"/>
    <m/>
    <s v="WAHYU PRATAMA"/>
    <m/>
    <s v="LCD"/>
    <m/>
    <s v="SAMSUNG"/>
    <m/>
    <s v="A51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5"/>
    <m/>
    <s v="MF-FP.24801"/>
    <m/>
    <s v="MF-ST.22288"/>
    <m/>
    <d v="2026-04-29T00:00:00"/>
    <m/>
    <s v="Umum"/>
    <m/>
    <s v="C.13126"/>
    <m/>
    <s v="GILANG"/>
    <m/>
    <s v="WAHYU PRATAMA"/>
    <m/>
    <s v="SERVICE HANDPHONE"/>
    <m/>
    <x v="1"/>
    <m/>
    <s v="YUVI NOFERIANTO"/>
    <m/>
    <x v="4"/>
    <m/>
    <s v="WAHYU PRATAMA"/>
    <m/>
    <s v="LCD"/>
    <m/>
    <s v="XIAOMI"/>
    <m/>
    <s v="POCO X3 pro"/>
    <m/>
    <s v="100816"/>
    <m/>
    <s v="LCD.. XIO POCO X3 NFC/X3 PRO B"/>
    <m/>
    <n v="140439.43412200001"/>
    <m/>
    <n v="1"/>
    <m/>
    <n v="185000"/>
    <m/>
    <n v="185000"/>
    <m/>
    <m/>
    <m/>
    <s v="N/A"/>
  </r>
  <r>
    <m/>
    <x v="5"/>
    <m/>
    <s v="MF-FP.24801"/>
    <m/>
    <s v="MF-ST.22288"/>
    <m/>
    <d v="2026-04-29T00:00:00"/>
    <m/>
    <s v="Umum"/>
    <m/>
    <s v="C.13126"/>
    <m/>
    <s v="GILANG"/>
    <m/>
    <s v="WAHYU PRATAMA"/>
    <m/>
    <s v="SERVICE HANDPHONE"/>
    <m/>
    <x v="2"/>
    <m/>
    <s v="YUVI NOFERIANTO"/>
    <m/>
    <x v="4"/>
    <m/>
    <s v="WAHYU PRATAMA"/>
    <m/>
    <s v="LCD"/>
    <m/>
    <s v="XIAOMI"/>
    <m/>
    <s v="POCO X3 pro"/>
    <m/>
    <s v="AKOR-014"/>
    <m/>
    <s v="ORAIMO CABLE TYPE-C 2A OCD-114C"/>
    <m/>
    <n v="15000"/>
    <m/>
    <n v="1"/>
    <m/>
    <n v="15000"/>
    <m/>
    <n v="15000"/>
    <m/>
    <m/>
    <m/>
    <s v="N/A"/>
  </r>
  <r>
    <m/>
    <x v="5"/>
    <m/>
    <s v="MF-FP.24794"/>
    <m/>
    <s v="MF-ST.21892"/>
    <m/>
    <d v="2026-04-14T00:00:00"/>
    <m/>
    <s v="Umum"/>
    <m/>
    <s v="C.12958"/>
    <m/>
    <s v="ELMAN"/>
    <m/>
    <s v="HANIF"/>
    <m/>
    <s v="PENJUALAN AKSESORIS"/>
    <m/>
    <x v="1"/>
    <m/>
    <s v="N/A"/>
    <m/>
    <x v="5"/>
    <m/>
    <s v="WAHYU PRATAMA"/>
    <m/>
    <s v="N/A"/>
    <m/>
    <s v="ACER"/>
    <m/>
    <s v="ASPIRE R11"/>
    <m/>
    <s v="103984"/>
    <m/>
    <s v="ADPTR LPT ACR 19V 3.42A STDR"/>
    <m/>
    <n v="85000"/>
    <m/>
    <n v="1"/>
    <m/>
    <n v="200000"/>
    <m/>
    <n v="200000"/>
    <m/>
    <m/>
    <m/>
    <s v="N/A"/>
  </r>
  <r>
    <m/>
    <x v="5"/>
    <m/>
    <s v="MF-FP.24798"/>
    <m/>
    <s v="MF-ST.22213"/>
    <m/>
    <d v="2026-04-26T00:00:00"/>
    <m/>
    <s v="Member Reguler"/>
    <m/>
    <s v="C.12714"/>
    <m/>
    <s v="GILANG"/>
    <m/>
    <s v="HANIF"/>
    <m/>
    <s v="SERVICE LAPTOP"/>
    <m/>
    <x v="0"/>
    <m/>
    <s v="ARIFIN SANTOSO JATIMULYA"/>
    <m/>
    <x v="6"/>
    <m/>
    <s v="WAHYU PRATAMA"/>
    <m/>
    <s v="SOFTWARE"/>
    <m/>
    <s v="HP"/>
    <m/>
    <s v="HP 14S FQ"/>
    <m/>
    <s v="JASA71"/>
    <m/>
    <s v="JASA REPAIR"/>
    <m/>
    <n v="0"/>
    <m/>
    <n v="1"/>
    <m/>
    <n v="235000"/>
    <m/>
    <n v="235000"/>
    <m/>
    <s v="ARI MARWAN"/>
    <m/>
    <s v="N/A"/>
  </r>
  <r>
    <m/>
    <x v="5"/>
    <m/>
    <s v="MF-FP.24795"/>
    <m/>
    <s v="MF-ST.22284"/>
    <m/>
    <d v="2026-04-29T00:00:00"/>
    <m/>
    <s v="Umum"/>
    <m/>
    <s v="C.02255"/>
    <m/>
    <s v="JODI"/>
    <m/>
    <s v="WAHYU PRATAMA"/>
    <m/>
    <s v="PENJUALAN AKSESORIS"/>
    <m/>
    <x v="2"/>
    <m/>
    <s v="N/A"/>
    <m/>
    <x v="5"/>
    <m/>
    <s v="WAHYU PRATAMA"/>
    <m/>
    <s v="REPAIR"/>
    <m/>
    <s v="SAMSUNG"/>
    <m/>
    <s v="SAM"/>
    <m/>
    <s v="105761"/>
    <m/>
    <s v="VGEN FLASHDISK USB 2.0 AVATAR 128GB"/>
    <m/>
    <n v="141000"/>
    <m/>
    <n v="1"/>
    <m/>
    <n v="170000"/>
    <m/>
    <n v="170000"/>
    <m/>
    <s v="AHMAD FIKRI HISBULLAH SALES"/>
    <m/>
    <s v="N/A"/>
  </r>
  <r>
    <m/>
    <x v="5"/>
    <m/>
    <s v="MF-FP.24798"/>
    <m/>
    <s v="MF-ST.22213"/>
    <m/>
    <d v="2026-04-26T00:00:00"/>
    <m/>
    <s v="Member Reguler"/>
    <m/>
    <s v="C.12714"/>
    <m/>
    <s v="GILANG"/>
    <m/>
    <s v="HANIF"/>
    <m/>
    <s v="SERVICE LAPTOP"/>
    <m/>
    <x v="2"/>
    <m/>
    <s v="ARIFIN SANTOSO JATIMULYA"/>
    <m/>
    <x v="6"/>
    <m/>
    <s v="WAHYU PRATAMA"/>
    <m/>
    <s v="SOFTWARE"/>
    <m/>
    <s v="HP"/>
    <m/>
    <s v="HP 14S FQ"/>
    <m/>
    <s v="AKOR-014"/>
    <m/>
    <s v="ORAIMO CABLE TYPE-C 2A OCD-114C"/>
    <m/>
    <n v="15000"/>
    <m/>
    <n v="1"/>
    <m/>
    <n v="15000"/>
    <m/>
    <n v="15000"/>
    <m/>
    <s v="ARI MARWAN"/>
    <m/>
    <s v="N/A"/>
  </r>
  <r>
    <m/>
    <x v="5"/>
    <m/>
    <s v="MF-FP.24799"/>
    <m/>
    <s v="MF-ST.22066"/>
    <m/>
    <d v="2026-04-20T00:00:00"/>
    <m/>
    <s v="Umum"/>
    <m/>
    <s v="C.01569"/>
    <m/>
    <s v="Yudi"/>
    <m/>
    <s v="HANIF"/>
    <m/>
    <s v="SERVICE HANDPHONE"/>
    <m/>
    <x v="0"/>
    <m/>
    <s v="EKO RISDIYANTORO JATIMULYA"/>
    <m/>
    <x v="2"/>
    <m/>
    <s v="WAHYU PRATAMA"/>
    <m/>
    <s v="LCD"/>
    <m/>
    <s v="XIAOMI"/>
    <m/>
    <s v="poco f6"/>
    <m/>
    <s v="JASA71"/>
    <m/>
    <s v="JASA REPAIR"/>
    <m/>
    <n v="0"/>
    <m/>
    <n v="1"/>
    <m/>
    <n v="510000"/>
    <m/>
    <n v="510000"/>
    <m/>
    <m/>
    <m/>
    <s v="N/A"/>
  </r>
  <r>
    <m/>
    <x v="5"/>
    <m/>
    <s v="MF-FP.24800"/>
    <m/>
    <s v="MF-ST.22287"/>
    <m/>
    <d v="2026-04-29T00:00:00"/>
    <m/>
    <s v="Umum"/>
    <m/>
    <s v="C.00000"/>
    <m/>
    <s v="Pelanggan Umum"/>
    <m/>
    <s v="WAHYU PRATAMA"/>
    <m/>
    <s v="PENJUALAN AKSESORIS"/>
    <m/>
    <x v="2"/>
    <m/>
    <s v="N/A"/>
    <m/>
    <x v="5"/>
    <m/>
    <s v="WAHYU PRATAMA"/>
    <m/>
    <s v="REPAIR"/>
    <m/>
    <s v="SAMSUNG"/>
    <m/>
    <s v="sam"/>
    <m/>
    <s v="101016"/>
    <m/>
    <s v="KABEL POWER LAPTOP"/>
    <m/>
    <n v="15042.328041999999"/>
    <m/>
    <n v="1"/>
    <m/>
    <n v="30000"/>
    <m/>
    <n v="30000"/>
    <m/>
    <m/>
    <m/>
    <s v="N/A"/>
  </r>
  <r>
    <m/>
    <x v="5"/>
    <m/>
    <s v="MF-FP.24799"/>
    <m/>
    <s v="MF-ST.22066"/>
    <m/>
    <d v="2026-04-20T00:00:00"/>
    <m/>
    <s v="Umum"/>
    <m/>
    <s v="C.01569"/>
    <m/>
    <s v="Yudi"/>
    <m/>
    <s v="HANIF"/>
    <m/>
    <s v="SERVICE HANDPHONE"/>
    <m/>
    <x v="1"/>
    <m/>
    <s v="EKO RISDIYANTORO JATIMULYA"/>
    <m/>
    <x v="2"/>
    <m/>
    <s v="WAHYU PRATAMA"/>
    <m/>
    <s v="LCD"/>
    <m/>
    <s v="XIAOMI"/>
    <m/>
    <s v="poco f6"/>
    <m/>
    <s v="107195"/>
    <m/>
    <s v="LCD.. XIO POCO F6 5G ORI"/>
    <m/>
    <n v="992000"/>
    <m/>
    <n v="1"/>
    <m/>
    <n v="1200000"/>
    <m/>
    <n v="1200000"/>
    <m/>
    <m/>
    <m/>
    <s v="N/A"/>
  </r>
  <r>
    <m/>
    <x v="5"/>
    <m/>
    <s v="MF-FP.24799"/>
    <m/>
    <s v="MF-ST.22066"/>
    <m/>
    <d v="2026-04-20T00:00:00"/>
    <m/>
    <s v="Umum"/>
    <m/>
    <s v="C.01569"/>
    <m/>
    <s v="Yudi"/>
    <m/>
    <s v="HANIF"/>
    <m/>
    <s v="SERVICE HANDPHONE"/>
    <m/>
    <x v="2"/>
    <m/>
    <s v="EKO RISDIYANTORO JATIMULYA"/>
    <m/>
    <x v="2"/>
    <m/>
    <s v="WAHYU PRATAMA"/>
    <m/>
    <s v="LCD"/>
    <m/>
    <s v="XIAOMI"/>
    <m/>
    <s v="poco f6"/>
    <m/>
    <s v="100024"/>
    <m/>
    <s v="VIVAN HYDROGEL BASIC ANTI GLARE VSP03T"/>
    <m/>
    <n v="14190.080550000001"/>
    <m/>
    <n v="1"/>
    <m/>
    <n v="75000"/>
    <m/>
    <n v="75000"/>
    <m/>
    <m/>
    <m/>
    <s v="N/A"/>
  </r>
  <r>
    <m/>
    <x v="5"/>
    <m/>
    <s v="MF-FP.24799"/>
    <m/>
    <s v="MF-ST.22066"/>
    <m/>
    <d v="2026-04-20T00:00:00"/>
    <m/>
    <s v="Umum"/>
    <m/>
    <s v="C.01569"/>
    <m/>
    <s v="Yudi"/>
    <m/>
    <s v="HANIF"/>
    <m/>
    <s v="SERVICE HANDPHONE"/>
    <m/>
    <x v="2"/>
    <m/>
    <s v="EKO RISDIYANTORO JATIMULYA"/>
    <m/>
    <x v="2"/>
    <m/>
    <s v="WAHYU PRATAMA"/>
    <m/>
    <s v="LCD"/>
    <m/>
    <s v="XIAOMI"/>
    <m/>
    <s v="poco f6"/>
    <m/>
    <s v="AKOR-014"/>
    <m/>
    <s v="ORAIMO CABLE TYPE-C 2A OCD-114C"/>
    <m/>
    <n v="15000"/>
    <m/>
    <n v="1"/>
    <m/>
    <n v="15000"/>
    <m/>
    <n v="15000"/>
    <m/>
    <m/>
    <m/>
    <s v="N/A"/>
  </r>
  <r>
    <m/>
    <x v="5"/>
    <m/>
    <s v="MF-FP.24796"/>
    <m/>
    <s v="MF-ST.22282"/>
    <m/>
    <d v="2026-04-29T00:00:00"/>
    <m/>
    <s v="Member Reguler"/>
    <m/>
    <s v="C.13123"/>
    <m/>
    <s v="UBAY"/>
    <m/>
    <s v="WAHYU PRATAMA"/>
    <m/>
    <s v="SERVICE HANDPHONE"/>
    <m/>
    <x v="0"/>
    <m/>
    <s v="YUVI NOFERIANTO"/>
    <m/>
    <x v="4"/>
    <m/>
    <s v="WAHYU PRATAMA"/>
    <m/>
    <s v="LCD"/>
    <m/>
    <s v="SAMSUNG"/>
    <m/>
    <s v="A71"/>
    <m/>
    <s v="JASA71"/>
    <m/>
    <s v="JASA REPAIR"/>
    <m/>
    <n v="0"/>
    <m/>
    <n v="1"/>
    <m/>
    <n v="200000"/>
    <m/>
    <n v="200000"/>
    <m/>
    <s v="Achmad Indrawanto"/>
    <m/>
    <s v="N/A"/>
  </r>
  <r>
    <m/>
    <x v="5"/>
    <m/>
    <s v="MF-FP.24801"/>
    <m/>
    <s v="MF-ST.22288"/>
    <m/>
    <d v="2026-04-29T00:00:00"/>
    <m/>
    <s v="Umum"/>
    <m/>
    <s v="C.13126"/>
    <m/>
    <s v="GILANG"/>
    <m/>
    <s v="WAHYU PRATAMA"/>
    <m/>
    <s v="SERVICE HANDPHONE"/>
    <m/>
    <x v="0"/>
    <m/>
    <s v="YUVI NOFERIANTO"/>
    <m/>
    <x v="4"/>
    <m/>
    <s v="WAHYU PRATAMA"/>
    <m/>
    <s v="LCD"/>
    <m/>
    <s v="XIAOMI"/>
    <m/>
    <s v="POCO X3 pro"/>
    <m/>
    <s v="JASA71"/>
    <m/>
    <s v="JASA REPAIR"/>
    <m/>
    <n v="0"/>
    <m/>
    <n v="1"/>
    <m/>
    <n v="250000"/>
    <m/>
    <n v="250000"/>
    <m/>
    <m/>
    <m/>
    <s v="N/A"/>
  </r>
  <r>
    <m/>
    <x v="5"/>
    <m/>
    <s v="MF-FP.24796"/>
    <m/>
    <s v="MF-ST.22282"/>
    <m/>
    <d v="2026-04-29T00:00:00"/>
    <m/>
    <s v="Member Reguler"/>
    <m/>
    <s v="C.13123"/>
    <m/>
    <s v="UBAY"/>
    <m/>
    <s v="WAHYU PRATAMA"/>
    <m/>
    <s v="SERVICE HANDPHONE"/>
    <m/>
    <x v="1"/>
    <m/>
    <s v="YUVI NOFERIANTO"/>
    <m/>
    <x v="4"/>
    <m/>
    <s v="WAHYU PRATAMA"/>
    <m/>
    <s v="LCD"/>
    <m/>
    <s v="SAMSUNG"/>
    <m/>
    <s v="A71"/>
    <m/>
    <s v="100365"/>
    <m/>
    <s v="LCD.. SAM A71/ A71 2020/ M51 4G B"/>
    <m/>
    <n v="160748.577578"/>
    <m/>
    <n v="1"/>
    <m/>
    <n v="235000"/>
    <m/>
    <n v="235000"/>
    <m/>
    <s v="Achmad Indrawanto"/>
    <m/>
    <s v="N/A"/>
  </r>
  <r>
    <m/>
    <x v="5"/>
    <m/>
    <s v="MF-FP.24796"/>
    <m/>
    <s v="MF-ST.22282"/>
    <m/>
    <d v="2026-04-29T00:00:00"/>
    <m/>
    <s v="Member Reguler"/>
    <m/>
    <s v="C.13123"/>
    <m/>
    <s v="UBAY"/>
    <m/>
    <s v="WAHYU PRATAMA"/>
    <m/>
    <s v="SERVICE HANDPHONE"/>
    <m/>
    <x v="2"/>
    <m/>
    <s v="YUVI NOFERIANTO"/>
    <m/>
    <x v="4"/>
    <m/>
    <s v="WAHYU PRATAMA"/>
    <m/>
    <s v="LCD"/>
    <m/>
    <s v="SAMSUNG"/>
    <m/>
    <s v="A71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6"/>
    <m/>
    <s v="MF-FP.24815"/>
    <m/>
    <s v="MF-ST.22310"/>
    <m/>
    <d v="2026-04-30T00:00:00"/>
    <m/>
    <s v="Member Reguler"/>
    <m/>
    <s v="C.07443"/>
    <m/>
    <s v="IBU ANDIKA"/>
    <m/>
    <s v="WAHYU PRATAMA"/>
    <m/>
    <s v="SERVICE HANDPHONE"/>
    <m/>
    <x v="2"/>
    <m/>
    <s v="MUSTOFA"/>
    <m/>
    <x v="1"/>
    <m/>
    <s v="WAHYU PRATAMA"/>
    <m/>
    <s v="FLEXIBEL ON/OFF"/>
    <m/>
    <s v="XIAOMI"/>
    <m/>
    <s v="NOTE 9 PRIO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6"/>
    <m/>
    <s v="MF-FP.24816"/>
    <m/>
    <s v="MF-ST.22283"/>
    <m/>
    <d v="2026-04-29T00:00:00"/>
    <m/>
    <s v="Umum"/>
    <m/>
    <s v="C.09119"/>
    <m/>
    <s v="BASKORO"/>
    <m/>
    <s v="WAHYU PRATAMA"/>
    <m/>
    <s v="SERVICE HANDPHONE"/>
    <m/>
    <x v="0"/>
    <m/>
    <s v="YUVI NOFERIANTO"/>
    <m/>
    <x v="4"/>
    <m/>
    <s v="WAHYU PRATAMA"/>
    <m/>
    <s v="REPAIR"/>
    <m/>
    <s v="SAMSUNG"/>
    <m/>
    <s v="J7 PLUS"/>
    <m/>
    <s v="JASA71"/>
    <m/>
    <s v="JASA REPAIR"/>
    <m/>
    <n v="0"/>
    <m/>
    <n v="1"/>
    <m/>
    <n v="285000"/>
    <m/>
    <n v="285000"/>
    <m/>
    <m/>
    <m/>
    <s v="N/A"/>
  </r>
  <r>
    <m/>
    <x v="6"/>
    <m/>
    <s v="MF-FP.24816"/>
    <m/>
    <s v="MF-ST.22283"/>
    <m/>
    <d v="2026-04-29T00:00:00"/>
    <m/>
    <s v="Umum"/>
    <m/>
    <s v="C.09119"/>
    <m/>
    <s v="BASKORO"/>
    <m/>
    <s v="WAHYU PRATAMA"/>
    <m/>
    <s v="SERVICE HANDPHONE"/>
    <m/>
    <x v="2"/>
    <m/>
    <s v="YUVI NOFERIANTO"/>
    <m/>
    <x v="4"/>
    <m/>
    <s v="WAHYU PRATAMA"/>
    <m/>
    <s v="REPAIR"/>
    <m/>
    <s v="SAMSUNG"/>
    <m/>
    <s v="J7 PLUS"/>
    <m/>
    <s v="104780"/>
    <m/>
    <s v="ROBOT DATA CABLE RBM100 II COLOURFULL TOPLES"/>
    <m/>
    <n v="6236.8288540000003"/>
    <m/>
    <n v="1"/>
    <m/>
    <n v="15000"/>
    <m/>
    <n v="15000"/>
    <m/>
    <m/>
    <m/>
    <s v="N/A"/>
  </r>
  <r>
    <m/>
    <x v="6"/>
    <m/>
    <s v="MF-FP.24802"/>
    <m/>
    <s v="MF-ST.22290"/>
    <m/>
    <d v="2026-04-30T00:00:00"/>
    <m/>
    <s v="Member Reguler"/>
    <m/>
    <s v="C.13127"/>
    <m/>
    <s v="MBAK WAR"/>
    <m/>
    <s v="Achmad Indrawanto"/>
    <m/>
    <s v="SERVICE HANDPHONE"/>
    <m/>
    <x v="2"/>
    <m/>
    <s v="YUVI NOFERIANTO"/>
    <m/>
    <x v="4"/>
    <m/>
    <s v="Achmad Indrawanto"/>
    <m/>
    <s v="REPAIR"/>
    <m/>
    <s v="OPPO"/>
    <m/>
    <s v="a77s"/>
    <m/>
    <s v="100025"/>
    <m/>
    <s v="VIVAN HYDROGEL BASIC CRYSTAL CLEAR VSP01T"/>
    <m/>
    <n v="11151.582562"/>
    <m/>
    <n v="1"/>
    <m/>
    <n v="75000"/>
    <m/>
    <n v="75000"/>
    <m/>
    <s v="Achmad Indrawanto"/>
    <m/>
    <s v="N/A"/>
  </r>
  <r>
    <m/>
    <x v="6"/>
    <m/>
    <s v="MF-FP.24817"/>
    <m/>
    <s v="MF-ST.22314"/>
    <m/>
    <d v="2026-04-30T00:00:00"/>
    <m/>
    <s v="Umum"/>
    <m/>
    <s v="C.00606"/>
    <m/>
    <s v="KA"/>
    <m/>
    <s v="WAHYU PRATAMA"/>
    <m/>
    <s v="SERVICE LAPTOP"/>
    <m/>
    <x v="0"/>
    <m/>
    <s v="ABDUL MUNAJAT"/>
    <m/>
    <x v="6"/>
    <m/>
    <s v="WAHYU PRATAMA"/>
    <m/>
    <s v="CLEAN UP"/>
    <m/>
    <s v="LENOVO"/>
    <m/>
    <s v="Lenovo L490"/>
    <m/>
    <s v="JASA8"/>
    <m/>
    <s v="JASA CLEANUP"/>
    <m/>
    <n v="0"/>
    <m/>
    <n v="1"/>
    <m/>
    <n v="235000"/>
    <m/>
    <n v="235000"/>
    <m/>
    <m/>
    <m/>
    <s v="N/A"/>
  </r>
  <r>
    <m/>
    <x v="6"/>
    <m/>
    <s v="MF-FP.24817"/>
    <m/>
    <s v="MF-ST.22314"/>
    <m/>
    <d v="2026-04-30T00:00:00"/>
    <m/>
    <s v="Umum"/>
    <m/>
    <s v="C.00606"/>
    <m/>
    <s v="KA"/>
    <m/>
    <s v="WAHYU PRATAMA"/>
    <m/>
    <s v="SERVICE LAPTOP"/>
    <m/>
    <x v="2"/>
    <m/>
    <s v="ABDUL MUNAJAT"/>
    <m/>
    <x v="6"/>
    <m/>
    <s v="WAHYU PRATAMA"/>
    <m/>
    <s v="CLEAN UP"/>
    <m/>
    <s v="LENOVO"/>
    <m/>
    <s v="Lenovo L490"/>
    <m/>
    <s v="AKOR-014"/>
    <m/>
    <s v="ORAIMO CABLE TYPE-C 2A OCD-114C"/>
    <m/>
    <n v="15000"/>
    <m/>
    <n v="1"/>
    <m/>
    <n v="15000"/>
    <m/>
    <n v="15000"/>
    <m/>
    <m/>
    <m/>
    <s v="N/A"/>
  </r>
  <r>
    <m/>
    <x v="6"/>
    <m/>
    <s v="MF-FP.24802"/>
    <m/>
    <s v="MF-ST.22290"/>
    <m/>
    <d v="2026-04-30T00:00:00"/>
    <m/>
    <s v="Member Reguler"/>
    <m/>
    <s v="C.13127"/>
    <m/>
    <s v="MBAK WAR"/>
    <m/>
    <s v="Achmad Indrawanto"/>
    <m/>
    <s v="SERVICE HANDPHONE"/>
    <m/>
    <x v="0"/>
    <m/>
    <s v="YUVI NOFERIANTO"/>
    <m/>
    <x v="4"/>
    <m/>
    <s v="Achmad Indrawanto"/>
    <m/>
    <s v="REPAIR"/>
    <m/>
    <s v="OPPO"/>
    <m/>
    <s v="a77s"/>
    <m/>
    <s v="JASA71"/>
    <m/>
    <s v="JASA REPAIR"/>
    <m/>
    <n v="0"/>
    <m/>
    <n v="1"/>
    <m/>
    <n v="25000"/>
    <m/>
    <n v="25000"/>
    <m/>
    <s v="Achmad Indrawanto"/>
    <m/>
    <s v="N/A"/>
  </r>
  <r>
    <m/>
    <x v="6"/>
    <m/>
    <s v="MF-FP.24803"/>
    <m/>
    <s v="MF-ST.22294"/>
    <m/>
    <d v="2026-04-30T00:00:00"/>
    <m/>
    <s v="Umum"/>
    <m/>
    <s v="C.11486"/>
    <m/>
    <s v="BOBY"/>
    <m/>
    <s v="Achmad Indrawanto"/>
    <m/>
    <s v="SERVICE HANDPHONE"/>
    <m/>
    <x v="0"/>
    <m/>
    <s v="YUVI NOFERIANTO"/>
    <m/>
    <x v="4"/>
    <m/>
    <s v="Achmad Indrawanto"/>
    <m/>
    <s v="REPAIR"/>
    <m/>
    <s v="VIVO"/>
    <m/>
    <s v="VIVO Y12S"/>
    <m/>
    <s v="JASA71"/>
    <m/>
    <s v="JASA REPAIR"/>
    <m/>
    <n v="0"/>
    <m/>
    <n v="1"/>
    <m/>
    <n v="35000"/>
    <m/>
    <n v="35000"/>
    <m/>
    <m/>
    <m/>
    <s v="N/A"/>
  </r>
  <r>
    <m/>
    <x v="6"/>
    <m/>
    <s v="MF-FP.24804"/>
    <m/>
    <s v="MF-ST.22296"/>
    <m/>
    <d v="2026-04-30T00:00:00"/>
    <m/>
    <s v="Member Reguler"/>
    <m/>
    <s v="C.13129"/>
    <m/>
    <s v="ASEP"/>
    <m/>
    <s v="Achmad Indrawanto"/>
    <m/>
    <s v="SERVICE HANDPHONE"/>
    <m/>
    <x v="0"/>
    <m/>
    <s v="YUVI NOFERIANTO"/>
    <m/>
    <x v="4"/>
    <m/>
    <s v="Achmad Indrawanto"/>
    <m/>
    <s v="REPAIR"/>
    <m/>
    <s v="XIAOMI"/>
    <m/>
    <s v="REDMI 9A"/>
    <m/>
    <s v="JASA71"/>
    <m/>
    <s v="JASA REPAIR"/>
    <m/>
    <n v="0"/>
    <m/>
    <n v="1"/>
    <m/>
    <n v="75000"/>
    <m/>
    <n v="75000"/>
    <m/>
    <s v="Achmad Indrawanto"/>
    <m/>
    <s v="N/A"/>
  </r>
  <r>
    <m/>
    <x v="6"/>
    <m/>
    <s v="MF-FP.24804"/>
    <m/>
    <s v="MF-ST.22296"/>
    <m/>
    <d v="2026-04-30T00:00:00"/>
    <m/>
    <s v="Member Reguler"/>
    <m/>
    <s v="C.13129"/>
    <m/>
    <s v="ASEP"/>
    <m/>
    <s v="Achmad Indrawanto"/>
    <m/>
    <s v="SERVICE HANDPHONE"/>
    <m/>
    <x v="2"/>
    <m/>
    <s v="YUVI NOFERIANTO"/>
    <m/>
    <x v="4"/>
    <m/>
    <s v="Achmad Indrawanto"/>
    <m/>
    <s v="REPAIR"/>
    <m/>
    <s v="XIAOMI"/>
    <m/>
    <s v="REDMI 9A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6"/>
    <m/>
    <s v="MF-FP.24818"/>
    <m/>
    <s v="MF-ST.22315"/>
    <m/>
    <d v="2026-04-30T00:00:00"/>
    <m/>
    <s v="Umum"/>
    <m/>
    <s v="C.13136"/>
    <m/>
    <s v="SALMA"/>
    <m/>
    <s v="WAHYU PRATAMA"/>
    <m/>
    <s v="SERVICE HANDPHONE"/>
    <m/>
    <x v="0"/>
    <m/>
    <s v="MUSTOFA"/>
    <m/>
    <x v="1"/>
    <m/>
    <s v="WAHYU PRATAMA"/>
    <m/>
    <s v="LCD"/>
    <m/>
    <s v="APPLE"/>
    <m/>
    <s v="IPH 11"/>
    <m/>
    <s v="JASA71"/>
    <m/>
    <s v="JASA REPAIR"/>
    <m/>
    <n v="0"/>
    <m/>
    <n v="1"/>
    <m/>
    <n v="200000"/>
    <m/>
    <n v="200000"/>
    <m/>
    <m/>
    <m/>
    <s v="N/A"/>
  </r>
  <r>
    <m/>
    <x v="6"/>
    <m/>
    <s v="MF-FP.24818"/>
    <m/>
    <s v="MF-ST.22315"/>
    <m/>
    <d v="2026-04-30T00:00:00"/>
    <m/>
    <s v="Umum"/>
    <m/>
    <s v="C.13136"/>
    <m/>
    <s v="SALMA"/>
    <m/>
    <s v="WAHYU PRATAMA"/>
    <m/>
    <s v="SERVICE HANDPHONE"/>
    <m/>
    <x v="1"/>
    <m/>
    <s v="MUSTOFA"/>
    <m/>
    <x v="1"/>
    <m/>
    <s v="WAHYU PRATAMA"/>
    <m/>
    <s v="LCD"/>
    <m/>
    <s v="APPLE"/>
    <m/>
    <s v="IPH 11"/>
    <m/>
    <s v="100541"/>
    <m/>
    <s v="LCD.. IPH 11 FST B"/>
    <m/>
    <n v="215100"/>
    <m/>
    <n v="1"/>
    <m/>
    <n v="285000"/>
    <m/>
    <n v="285000"/>
    <m/>
    <m/>
    <m/>
    <s v="N/A"/>
  </r>
  <r>
    <m/>
    <x v="6"/>
    <m/>
    <s v="MF-FP.24818"/>
    <m/>
    <s v="MF-ST.22315"/>
    <m/>
    <d v="2026-04-30T00:00:00"/>
    <m/>
    <s v="Umum"/>
    <m/>
    <s v="C.13136"/>
    <m/>
    <s v="SALMA"/>
    <m/>
    <s v="WAHYU PRATAMA"/>
    <m/>
    <s v="SERVICE HANDPHONE"/>
    <m/>
    <x v="2"/>
    <m/>
    <s v="MUSTOFA"/>
    <m/>
    <x v="1"/>
    <m/>
    <s v="WAHYU PRATAMA"/>
    <m/>
    <s v="LCD"/>
    <m/>
    <s v="APPLE"/>
    <m/>
    <s v="IPH 11"/>
    <m/>
    <s v="AKOR-014"/>
    <m/>
    <s v="ORAIMO CABLE TYPE-C 2A OCD-114C"/>
    <m/>
    <n v="15000"/>
    <m/>
    <n v="1"/>
    <m/>
    <n v="15000"/>
    <m/>
    <n v="15000"/>
    <m/>
    <m/>
    <m/>
    <s v="N/A"/>
  </r>
  <r>
    <m/>
    <x v="6"/>
    <m/>
    <s v="MF-FP.24821"/>
    <m/>
    <s v="MF-ST.22298"/>
    <m/>
    <d v="2026-04-30T00:00:00"/>
    <m/>
    <s v="Member Reguler"/>
    <m/>
    <s v="C.12428"/>
    <m/>
    <s v="BILAL"/>
    <m/>
    <s v="Achmad Indrawanto"/>
    <m/>
    <s v="SERVICE HANDPHONE"/>
    <m/>
    <x v="0"/>
    <m/>
    <s v="YUVI NOFERIANTO"/>
    <m/>
    <x v="4"/>
    <m/>
    <s v="WAHYU PRATAMA"/>
    <m/>
    <s v="LCD"/>
    <m/>
    <s v="OPPO"/>
    <m/>
    <s v="X6 PRO"/>
    <m/>
    <s v="JASA71"/>
    <m/>
    <s v="JASA REPAIR"/>
    <m/>
    <n v="0"/>
    <m/>
    <n v="1"/>
    <m/>
    <n v="450000"/>
    <m/>
    <n v="450000"/>
    <m/>
    <s v="Achmad Indrawanto"/>
    <m/>
    <s v="N/A"/>
  </r>
  <r>
    <m/>
    <x v="6"/>
    <m/>
    <s v="MF-FP.24821"/>
    <m/>
    <s v="MF-ST.22298"/>
    <m/>
    <d v="2026-04-30T00:00:00"/>
    <m/>
    <s v="Member Reguler"/>
    <m/>
    <s v="C.12428"/>
    <m/>
    <s v="BILAL"/>
    <m/>
    <s v="Achmad Indrawanto"/>
    <m/>
    <s v="SERVICE HANDPHONE"/>
    <m/>
    <x v="1"/>
    <m/>
    <s v="YUVI NOFERIANTO"/>
    <m/>
    <x v="4"/>
    <m/>
    <s v="WAHYU PRATAMA"/>
    <m/>
    <s v="LCD"/>
    <m/>
    <s v="OPPO"/>
    <m/>
    <s v="X6 PRO"/>
    <m/>
    <s v="107187"/>
    <m/>
    <s v="BATER XIO REDMI 13T / POCO X6 PRO BM5T"/>
    <m/>
    <n v="195175.09727599999"/>
    <m/>
    <n v="1"/>
    <m/>
    <n v="250000"/>
    <m/>
    <n v="250000"/>
    <m/>
    <s v="Achmad Indrawanto"/>
    <m/>
    <s v="N/A"/>
  </r>
  <r>
    <m/>
    <x v="6"/>
    <m/>
    <s v="MF-FP.24821"/>
    <m/>
    <s v="MF-ST.22298"/>
    <m/>
    <d v="2026-04-30T00:00:00"/>
    <m/>
    <s v="Member Reguler"/>
    <m/>
    <s v="C.12428"/>
    <m/>
    <s v="BILAL"/>
    <m/>
    <s v="Achmad Indrawanto"/>
    <m/>
    <s v="SERVICE HANDPHONE"/>
    <m/>
    <x v="1"/>
    <m/>
    <s v="YUVI NOFERIANTO"/>
    <m/>
    <x v="4"/>
    <m/>
    <s v="WAHYU PRATAMA"/>
    <m/>
    <s v="LCD"/>
    <m/>
    <s v="OPPO"/>
    <m/>
    <s v="X6 PRO"/>
    <m/>
    <s v="106240"/>
    <m/>
    <s v="LCD.. XIO POCO F6/X6 PRO OLED"/>
    <m/>
    <n v="490000"/>
    <m/>
    <n v="1"/>
    <m/>
    <n v="635000"/>
    <m/>
    <n v="635000"/>
    <m/>
    <s v="Achmad Indrawanto"/>
    <m/>
    <s v="N/A"/>
  </r>
  <r>
    <m/>
    <x v="6"/>
    <m/>
    <s v="MF-FP.24819"/>
    <m/>
    <s v="MF-ST.22262"/>
    <m/>
    <d v="2026-04-28T00:00:00"/>
    <m/>
    <s v="Umum"/>
    <m/>
    <s v="C.02907"/>
    <m/>
    <s v="ARIF"/>
    <m/>
    <s v="Achmad Indrawanto"/>
    <m/>
    <s v="SERVICE CPU"/>
    <m/>
    <x v="0"/>
    <m/>
    <s v="ABDUL MUNAJAT"/>
    <m/>
    <x v="6"/>
    <m/>
    <s v="WAHYU PRATAMA"/>
    <m/>
    <s v="REPAIR"/>
    <m/>
    <s v="BELUM ADA MERK"/>
    <m/>
    <s v="cpu hitam"/>
    <m/>
    <s v="JASA71"/>
    <m/>
    <s v="JASA REPAIR"/>
    <m/>
    <n v="0"/>
    <m/>
    <n v="1"/>
    <m/>
    <n v="620000"/>
    <m/>
    <n v="620000"/>
    <m/>
    <s v="TEGAR PUTRA YANSA SALES"/>
    <m/>
    <s v="N/A"/>
  </r>
  <r>
    <m/>
    <x v="6"/>
    <m/>
    <s v="MF-FP.24819"/>
    <m/>
    <s v="MF-ST.22262"/>
    <m/>
    <d v="2026-04-28T00:00:00"/>
    <m/>
    <s v="Umum"/>
    <m/>
    <s v="C.02907"/>
    <m/>
    <s v="ARIF"/>
    <m/>
    <s v="Achmad Indrawanto"/>
    <m/>
    <s v="SERVICE CPU"/>
    <m/>
    <x v="1"/>
    <m/>
    <s v="ABDUL MUNAJAT"/>
    <m/>
    <x v="6"/>
    <m/>
    <s v="WAHYU PRATAMA"/>
    <m/>
    <s v="REPAIR"/>
    <m/>
    <s v="BELUM ADA MERK"/>
    <m/>
    <s v="cpu hitam"/>
    <m/>
    <s v="105777"/>
    <m/>
    <s v="VGEN SSD SATA III PLATINUM 256GB"/>
    <m/>
    <n v="642546.285455"/>
    <m/>
    <n v="1"/>
    <m/>
    <n v="850000"/>
    <m/>
    <n v="850000"/>
    <m/>
    <s v="TEGAR PUTRA YANSA SALES"/>
    <m/>
    <s v="N/A"/>
  </r>
  <r>
    <m/>
    <x v="6"/>
    <m/>
    <s v="MF-FP.24819"/>
    <m/>
    <s v="MF-ST.22262"/>
    <m/>
    <d v="2026-04-28T00:00:00"/>
    <m/>
    <s v="Umum"/>
    <m/>
    <s v="C.02907"/>
    <m/>
    <s v="ARIF"/>
    <m/>
    <s v="Achmad Indrawanto"/>
    <m/>
    <s v="SERVICE CPU"/>
    <m/>
    <x v="1"/>
    <m/>
    <s v="ABDUL MUNAJAT"/>
    <m/>
    <x v="6"/>
    <m/>
    <s v="WAHYU PRATAMA"/>
    <m/>
    <s v="REPAIR"/>
    <m/>
    <s v="BELUM ADA MERK"/>
    <m/>
    <s v="cpu hitam"/>
    <m/>
    <s v="102179"/>
    <m/>
    <s v="BATER CMOS LPT CR2032 3V"/>
    <m/>
    <n v="5339.6739129999996"/>
    <m/>
    <n v="1"/>
    <m/>
    <n v="15000"/>
    <m/>
    <n v="15000"/>
    <m/>
    <s v="TEGAR PUTRA YANSA SALES"/>
    <m/>
    <s v="N/A"/>
  </r>
  <r>
    <m/>
    <x v="6"/>
    <m/>
    <s v="MF-FP.24819"/>
    <m/>
    <s v="MF-ST.22262"/>
    <m/>
    <d v="2026-04-28T00:00:00"/>
    <m/>
    <s v="Umum"/>
    <m/>
    <s v="C.02907"/>
    <m/>
    <s v="ARIF"/>
    <m/>
    <s v="Achmad Indrawanto"/>
    <m/>
    <s v="SERVICE CPU"/>
    <m/>
    <x v="2"/>
    <m/>
    <s v="ABDUL MUNAJAT"/>
    <m/>
    <x v="6"/>
    <m/>
    <s v="WAHYU PRATAMA"/>
    <m/>
    <s v="REPAIR"/>
    <m/>
    <s v="BELUM ADA MERK"/>
    <m/>
    <s v="cpu hitam"/>
    <m/>
    <s v="AKOR-014"/>
    <m/>
    <s v="ORAIMO CABLE TYPE-C 2A OCD-114C"/>
    <m/>
    <n v="15000"/>
    <m/>
    <n v="1"/>
    <m/>
    <n v="15000"/>
    <m/>
    <n v="15000"/>
    <m/>
    <s v="TEGAR PUTRA YANSA SALES"/>
    <m/>
    <s v="N/A"/>
  </r>
  <r>
    <m/>
    <x v="6"/>
    <m/>
    <s v="MF-FP.24821"/>
    <m/>
    <s v="MF-ST.22298"/>
    <m/>
    <d v="2026-04-30T00:00:00"/>
    <m/>
    <s v="Member Reguler"/>
    <m/>
    <s v="C.12428"/>
    <m/>
    <s v="BILAL"/>
    <m/>
    <s v="Achmad Indrawanto"/>
    <m/>
    <s v="SERVICE HANDPHONE"/>
    <m/>
    <x v="2"/>
    <m/>
    <s v="YUVI NOFERIANTO"/>
    <m/>
    <x v="4"/>
    <m/>
    <s v="WAHYU PRATAMA"/>
    <m/>
    <s v="LCD"/>
    <m/>
    <s v="OPPO"/>
    <m/>
    <s v="X6 PRO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6"/>
    <m/>
    <s v="MF-FP.24823"/>
    <m/>
    <s v="MF-ST.22280"/>
    <m/>
    <d v="2026-04-29T00:00:00"/>
    <m/>
    <s v="Umum"/>
    <m/>
    <s v="C.13122"/>
    <m/>
    <s v="LUCKY"/>
    <m/>
    <s v="WAHYU PRATAMA"/>
    <m/>
    <s v="SERVICE LAPTOP"/>
    <m/>
    <x v="0"/>
    <m/>
    <s v="ARIFIN SANTOSO JATIMULYA"/>
    <m/>
    <x v="6"/>
    <m/>
    <s v="WAHYU PRATAMA"/>
    <m/>
    <s v="SSD"/>
    <m/>
    <s v="HP"/>
    <m/>
    <s v="HP 14s cf"/>
    <m/>
    <s v="JASA71"/>
    <m/>
    <s v="JASA REPAIR"/>
    <m/>
    <n v="0"/>
    <m/>
    <n v="1"/>
    <m/>
    <n v="705000"/>
    <m/>
    <n v="705000"/>
    <m/>
    <m/>
    <m/>
    <s v="N/A"/>
  </r>
  <r>
    <m/>
    <x v="6"/>
    <m/>
    <s v="MF-FP.24823"/>
    <m/>
    <s v="MF-ST.22280"/>
    <m/>
    <d v="2026-04-29T00:00:00"/>
    <m/>
    <s v="Umum"/>
    <m/>
    <s v="C.13122"/>
    <m/>
    <s v="LUCKY"/>
    <m/>
    <s v="WAHYU PRATAMA"/>
    <m/>
    <s v="SERVICE LAPTOP"/>
    <m/>
    <x v="1"/>
    <m/>
    <s v="ARIFIN SANTOSO JATIMULYA"/>
    <m/>
    <x v="6"/>
    <m/>
    <s v="WAHYU PRATAMA"/>
    <m/>
    <s v="SSD"/>
    <m/>
    <s v="HP"/>
    <m/>
    <s v="HP 14s cf"/>
    <m/>
    <s v="105815"/>
    <m/>
    <s v="VGEN RAM PLATINUM SODIMM DDR4 4GB PC-21300/2666MHZ"/>
    <m/>
    <n v="471000"/>
    <m/>
    <n v="1"/>
    <m/>
    <n v="600000"/>
    <m/>
    <n v="600000"/>
    <m/>
    <m/>
    <m/>
    <s v="N/A"/>
  </r>
  <r>
    <m/>
    <x v="6"/>
    <m/>
    <s v="MF-FP.24823"/>
    <m/>
    <s v="MF-ST.22280"/>
    <m/>
    <d v="2026-04-29T00:00:00"/>
    <m/>
    <s v="Umum"/>
    <m/>
    <s v="C.13122"/>
    <m/>
    <s v="LUCKY"/>
    <m/>
    <s v="WAHYU PRATAMA"/>
    <m/>
    <s v="SERVICE LAPTOP"/>
    <m/>
    <x v="2"/>
    <m/>
    <s v="ARIFIN SANTOSO JATIMULYA"/>
    <m/>
    <x v="6"/>
    <m/>
    <s v="WAHYU PRATAMA"/>
    <m/>
    <s v="SSD"/>
    <m/>
    <s v="HP"/>
    <m/>
    <s v="HP 14s cf"/>
    <m/>
    <s v="AKOR-014"/>
    <m/>
    <s v="ORAIMO CABLE TYPE-C 2A OCD-114C"/>
    <m/>
    <n v="15000"/>
    <m/>
    <n v="1"/>
    <m/>
    <n v="15000"/>
    <m/>
    <n v="15000"/>
    <m/>
    <m/>
    <m/>
    <s v="N/A"/>
  </r>
  <r>
    <m/>
    <x v="6"/>
    <m/>
    <s v="MF-FP.24823"/>
    <m/>
    <s v="MF-ST.22280"/>
    <m/>
    <d v="2026-04-29T00:00:00"/>
    <m/>
    <s v="Umum"/>
    <m/>
    <s v="C.13122"/>
    <m/>
    <s v="LUCKY"/>
    <m/>
    <s v="WAHYU PRATAMA"/>
    <m/>
    <s v="SERVICE LAPTOP"/>
    <m/>
    <x v="1"/>
    <m/>
    <s v="ARIFIN SANTOSO JATIMULYA"/>
    <m/>
    <x v="6"/>
    <m/>
    <s v="WAHYU PRATAMA"/>
    <m/>
    <s v="SSD"/>
    <m/>
    <s v="HP"/>
    <m/>
    <s v="HP 14s cf"/>
    <m/>
    <s v="105564"/>
    <m/>
    <s v="VGEN SSD M2 NVME GEN3 HYPER 256GB"/>
    <m/>
    <n v="821335.62145400001"/>
    <m/>
    <n v="1"/>
    <m/>
    <n v="1180000"/>
    <m/>
    <n v="1180000"/>
    <m/>
    <m/>
    <m/>
    <s v="N/A"/>
  </r>
  <r>
    <m/>
    <x v="6"/>
    <m/>
    <s v="MF-FP.24824"/>
    <m/>
    <s v="MF-ST.22313"/>
    <m/>
    <d v="2026-04-30T00:00:00"/>
    <m/>
    <s v="Umum"/>
    <m/>
    <s v="C.13135"/>
    <m/>
    <s v="REZA"/>
    <m/>
    <s v="WAHYU PRATAMA"/>
    <m/>
    <s v="SERVICE HANDPHONE"/>
    <m/>
    <x v="0"/>
    <m/>
    <s v="EKO RISDIYANTORO JATIMULYA"/>
    <m/>
    <x v="2"/>
    <m/>
    <s v="WAHYU PRATAMA"/>
    <m/>
    <s v="LCD"/>
    <m/>
    <s v="APPLE"/>
    <m/>
    <s v="IPH XR"/>
    <m/>
    <s v="JASA71"/>
    <m/>
    <s v="JASA REPAIR"/>
    <m/>
    <n v="0"/>
    <m/>
    <n v="1"/>
    <m/>
    <n v="250000"/>
    <m/>
    <n v="250000"/>
    <m/>
    <m/>
    <m/>
    <s v="N/A"/>
  </r>
  <r>
    <m/>
    <x v="6"/>
    <m/>
    <s v="MF-FP.24824"/>
    <m/>
    <s v="MF-ST.22313"/>
    <m/>
    <d v="2026-04-30T00:00:00"/>
    <m/>
    <s v="Umum"/>
    <m/>
    <s v="C.13135"/>
    <m/>
    <s v="REZA"/>
    <m/>
    <s v="WAHYU PRATAMA"/>
    <m/>
    <s v="SERVICE HANDPHONE"/>
    <m/>
    <x v="1"/>
    <m/>
    <s v="EKO RISDIYANTORO JATIMULYA"/>
    <m/>
    <x v="2"/>
    <m/>
    <s v="WAHYU PRATAMA"/>
    <m/>
    <s v="LCD"/>
    <m/>
    <s v="APPLE"/>
    <m/>
    <s v="IPH XR"/>
    <m/>
    <s v="100152"/>
    <m/>
    <s v="LCD.. IPH XR B"/>
    <m/>
    <n v="186444.444445"/>
    <m/>
    <n v="1"/>
    <m/>
    <n v="235000"/>
    <m/>
    <n v="235000"/>
    <m/>
    <m/>
    <m/>
    <s v="N/A"/>
  </r>
  <r>
    <m/>
    <x v="6"/>
    <m/>
    <s v="MF-FP.24824"/>
    <m/>
    <s v="MF-ST.22313"/>
    <m/>
    <d v="2026-04-30T00:00:00"/>
    <m/>
    <s v="Umum"/>
    <m/>
    <s v="C.13135"/>
    <m/>
    <s v="REZA"/>
    <m/>
    <s v="WAHYU PRATAMA"/>
    <m/>
    <s v="SERVICE HANDPHONE"/>
    <m/>
    <x v="2"/>
    <m/>
    <s v="EKO RISDIYANTORO JATIMULYA"/>
    <m/>
    <x v="2"/>
    <m/>
    <s v="WAHYU PRATAMA"/>
    <m/>
    <s v="LCD"/>
    <m/>
    <s v="APPLE"/>
    <m/>
    <s v="IPH XR"/>
    <m/>
    <s v="AKOR-014"/>
    <m/>
    <s v="ORAIMO CABLE TYPE-C 2A OCD-114C"/>
    <m/>
    <n v="15000"/>
    <m/>
    <n v="1"/>
    <m/>
    <n v="15000"/>
    <m/>
    <n v="15000"/>
    <m/>
    <m/>
    <m/>
    <s v="N/A"/>
  </r>
  <r>
    <m/>
    <x v="6"/>
    <m/>
    <s v="MF-FP.24805"/>
    <m/>
    <s v="MF-ST.22270"/>
    <m/>
    <d v="2026-04-28T00:00:00"/>
    <m/>
    <s v="Member Reguler"/>
    <m/>
    <s v="C.02725"/>
    <m/>
    <s v="SOFYAN"/>
    <m/>
    <s v="Achmad Indrawanto"/>
    <m/>
    <s v="SERVICE HANDPHONE"/>
    <m/>
    <x v="0"/>
    <m/>
    <s v="YUVI NOFERIANTO"/>
    <m/>
    <x v="4"/>
    <m/>
    <s v="Achmad Indrawanto"/>
    <m/>
    <s v="LCD"/>
    <m/>
    <s v="REALME"/>
    <m/>
    <s v="Realme c1"/>
    <m/>
    <s v="JASA71"/>
    <m/>
    <s v="JASA REPAIR"/>
    <m/>
    <n v="0"/>
    <m/>
    <n v="1"/>
    <m/>
    <n v="175000"/>
    <m/>
    <n v="175000"/>
    <m/>
    <s v="TEGAR PUTRA YANSA SALES"/>
    <m/>
    <s v="N/A"/>
  </r>
  <r>
    <m/>
    <x v="6"/>
    <m/>
    <s v="MF-FP.24805"/>
    <m/>
    <s v="MF-ST.22270"/>
    <m/>
    <d v="2026-04-28T00:00:00"/>
    <m/>
    <s v="Member Reguler"/>
    <m/>
    <s v="C.02725"/>
    <m/>
    <s v="SOFYAN"/>
    <m/>
    <s v="Achmad Indrawanto"/>
    <m/>
    <s v="SERVICE HANDPHONE"/>
    <m/>
    <x v="1"/>
    <m/>
    <s v="YUVI NOFERIANTO"/>
    <m/>
    <x v="4"/>
    <m/>
    <s v="Achmad Indrawanto"/>
    <m/>
    <s v="LCD"/>
    <m/>
    <s v="REALME"/>
    <m/>
    <s v="Realme c1"/>
    <m/>
    <s v="100116"/>
    <m/>
    <s v="LCD.. OPP A3s/A5 RLM 2/C1 B FST"/>
    <m/>
    <n v="143093.52518"/>
    <m/>
    <n v="1"/>
    <m/>
    <n v="180000"/>
    <m/>
    <n v="180000"/>
    <m/>
    <s v="TEGAR PUTRA YANSA SALES"/>
    <m/>
    <s v="N/A"/>
  </r>
  <r>
    <m/>
    <x v="6"/>
    <m/>
    <s v="MF-FP.24805"/>
    <m/>
    <s v="MF-ST.22270"/>
    <m/>
    <d v="2026-04-28T00:00:00"/>
    <m/>
    <s v="Member Reguler"/>
    <m/>
    <s v="C.02725"/>
    <m/>
    <s v="SOFYAN"/>
    <m/>
    <s v="Achmad Indrawanto"/>
    <m/>
    <s v="SERVICE HANDPHONE"/>
    <m/>
    <x v="2"/>
    <m/>
    <s v="YUVI NOFERIANTO"/>
    <m/>
    <x v="4"/>
    <m/>
    <s v="Achmad Indrawanto"/>
    <m/>
    <s v="LCD"/>
    <m/>
    <s v="REALME"/>
    <m/>
    <s v="Realme c1"/>
    <m/>
    <s v="AKOR-014"/>
    <m/>
    <s v="ORAIMO CABLE TYPE-C 2A OCD-114C"/>
    <m/>
    <n v="15000"/>
    <m/>
    <n v="1"/>
    <m/>
    <n v="25000"/>
    <m/>
    <n v="25000"/>
    <m/>
    <s v="TEGAR PUTRA YANSA SALES"/>
    <m/>
    <s v="N/A"/>
  </r>
  <r>
    <m/>
    <x v="6"/>
    <m/>
    <s v="MF-FP.24820"/>
    <m/>
    <s v="MF-ST.22316"/>
    <m/>
    <d v="2026-04-30T00:00:00"/>
    <m/>
    <s v="Member Reguler"/>
    <m/>
    <s v="C.08453"/>
    <m/>
    <s v="ARIF"/>
    <m/>
    <s v="WAHYU PRATAMA"/>
    <m/>
    <s v="PENJUALAN AKSESORIS"/>
    <m/>
    <x v="2"/>
    <m/>
    <s v="N/A"/>
    <m/>
    <x v="5"/>
    <m/>
    <s v="WAHYU PRATAMA"/>
    <m/>
    <s v="REPAIR"/>
    <m/>
    <s v="SAMSUNG"/>
    <m/>
    <s v="SM"/>
    <m/>
    <s v="102063"/>
    <m/>
    <s v="TP-LINK USB WIRELESS TL-WN725N 150MBPS"/>
    <m/>
    <n v="75000"/>
    <m/>
    <n v="1"/>
    <m/>
    <n v="150000"/>
    <m/>
    <n v="150000"/>
    <m/>
    <s v="Achmad Indrawanto"/>
    <m/>
    <s v="N/A"/>
  </r>
  <r>
    <m/>
    <x v="6"/>
    <m/>
    <s v="MF-FP.24820"/>
    <m/>
    <s v="MF-ST.22316"/>
    <m/>
    <d v="2026-04-30T00:00:00"/>
    <m/>
    <s v="Member Reguler"/>
    <m/>
    <s v="C.08453"/>
    <m/>
    <s v="ARIF"/>
    <m/>
    <s v="WAHYU PRATAMA"/>
    <m/>
    <s v="PENJUALAN AKSESORIS"/>
    <m/>
    <x v="2"/>
    <m/>
    <s v="N/A"/>
    <m/>
    <x v="5"/>
    <m/>
    <s v="WAHYU PRATAMA"/>
    <m/>
    <s v="REPAIR"/>
    <m/>
    <s v="SAMSUNG"/>
    <m/>
    <s v="SM"/>
    <m/>
    <s v="107221"/>
    <m/>
    <s v="ROBOT M205 WIRELESS MOUSE (WITHOUT BATTERY) BLACK"/>
    <m/>
    <n v="47000"/>
    <m/>
    <n v="1"/>
    <m/>
    <n v="80000"/>
    <m/>
    <n v="80000"/>
    <m/>
    <s v="Achmad Indrawanto"/>
    <m/>
    <s v="N/A"/>
  </r>
  <r>
    <m/>
    <x v="6"/>
    <m/>
    <s v="MF-FP.24822"/>
    <m/>
    <s v="MF-ST.22307"/>
    <m/>
    <d v="2026-04-30T00:00:00"/>
    <m/>
    <s v="Member Reguler"/>
    <m/>
    <s v="C.01935"/>
    <m/>
    <s v="BANG FADIL"/>
    <m/>
    <s v="WAHYU PRATAMA"/>
    <m/>
    <s v="SERVICE HANDPHONE"/>
    <m/>
    <x v="0"/>
    <m/>
    <s v="EKO RISDIYANTORO JATIMULYA"/>
    <m/>
    <x v="2"/>
    <m/>
    <s v="WAHYU PRATAMA"/>
    <m/>
    <s v="REPAIR"/>
    <m/>
    <s v="APPLE"/>
    <m/>
    <s v="IPH XR"/>
    <m/>
    <s v="JASA71"/>
    <m/>
    <s v="JASA REPAIR"/>
    <m/>
    <n v="0"/>
    <m/>
    <n v="1"/>
    <m/>
    <n v="235000"/>
    <m/>
    <n v="235000"/>
    <m/>
    <s v="Achmad Indrawanto"/>
    <m/>
    <s v="N/A"/>
  </r>
  <r>
    <m/>
    <x v="6"/>
    <m/>
    <s v="MF-FP.24822"/>
    <m/>
    <s v="MF-ST.22307"/>
    <m/>
    <d v="2026-04-30T00:00:00"/>
    <m/>
    <s v="Member Reguler"/>
    <m/>
    <s v="C.01935"/>
    <m/>
    <s v="BANG FADIL"/>
    <m/>
    <s v="WAHYU PRATAMA"/>
    <m/>
    <s v="SERVICE HANDPHONE"/>
    <m/>
    <x v="1"/>
    <m/>
    <s v="EKO RISDIYANTORO JATIMULYA"/>
    <m/>
    <x v="2"/>
    <m/>
    <s v="WAHYU PRATAMA"/>
    <m/>
    <s v="REPAIR"/>
    <m/>
    <s v="APPLE"/>
    <m/>
    <s v="IPH XR"/>
    <m/>
    <s v="100152"/>
    <m/>
    <s v="LCD.. IPH XR B"/>
    <m/>
    <n v="186444.444445"/>
    <m/>
    <n v="1"/>
    <m/>
    <n v="250000"/>
    <m/>
    <n v="250000"/>
    <m/>
    <s v="Achmad Indrawanto"/>
    <m/>
    <s v="N/A"/>
  </r>
  <r>
    <m/>
    <x v="6"/>
    <m/>
    <s v="MF-FP.24822"/>
    <m/>
    <s v="MF-ST.22307"/>
    <m/>
    <d v="2026-04-30T00:00:00"/>
    <m/>
    <s v="Member Reguler"/>
    <m/>
    <s v="C.01935"/>
    <m/>
    <s v="BANG FADIL"/>
    <m/>
    <s v="WAHYU PRATAMA"/>
    <m/>
    <s v="SERVICE HANDPHONE"/>
    <m/>
    <x v="2"/>
    <m/>
    <s v="EKO RISDIYANTORO JATIMULYA"/>
    <m/>
    <x v="2"/>
    <m/>
    <s v="WAHYU PRATAMA"/>
    <m/>
    <s v="REPAIR"/>
    <m/>
    <s v="APPLE"/>
    <m/>
    <s v="IPH XR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6"/>
    <m/>
    <s v="MF-FP.24811"/>
    <m/>
    <s v="MF-ST.22295"/>
    <m/>
    <d v="2026-04-30T00:00:00"/>
    <m/>
    <s v="Member Reguler"/>
    <m/>
    <s v="C.13128"/>
    <m/>
    <s v="FARIZA"/>
    <m/>
    <s v="Achmad Indrawanto"/>
    <m/>
    <s v="SERVICE HANDPHONE"/>
    <m/>
    <x v="1"/>
    <m/>
    <s v="YUVI NOFERIANTO"/>
    <m/>
    <x v="4"/>
    <m/>
    <s v="Achmad Indrawanto"/>
    <m/>
    <s v="BATERAI"/>
    <m/>
    <s v="XIAOMI"/>
    <m/>
    <s v="Redmi note 9"/>
    <m/>
    <s v="100261"/>
    <m/>
    <s v="BATER XIO REDMI 9/REDMI NOTE 9 BN54"/>
    <m/>
    <n v="112144.93881599999"/>
    <m/>
    <n v="1"/>
    <m/>
    <n v="145000"/>
    <m/>
    <n v="145000"/>
    <m/>
    <s v="Achmad Indrawanto"/>
    <m/>
    <s v="N/A"/>
  </r>
  <r>
    <m/>
    <x v="6"/>
    <m/>
    <s v="MF-FP.24811"/>
    <m/>
    <s v="MF-ST.22295"/>
    <m/>
    <d v="2026-04-30T00:00:00"/>
    <m/>
    <s v="Member Reguler"/>
    <m/>
    <s v="C.13128"/>
    <m/>
    <s v="FARIZA"/>
    <m/>
    <s v="Achmad Indrawanto"/>
    <m/>
    <s v="SERVICE HANDPHONE"/>
    <m/>
    <x v="2"/>
    <m/>
    <s v="YUVI NOFERIANTO"/>
    <m/>
    <x v="4"/>
    <m/>
    <s v="Achmad Indrawanto"/>
    <m/>
    <s v="BATERAI"/>
    <m/>
    <s v="XIAOMI"/>
    <m/>
    <s v="Redmi note 9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6"/>
    <m/>
    <s v="MF-FP.24808"/>
    <m/>
    <s v="MF-ST.22302"/>
    <m/>
    <d v="2026-04-30T00:00:00"/>
    <m/>
    <s v="Member Reguler"/>
    <m/>
    <s v="C.13132"/>
    <m/>
    <s v="RINA"/>
    <m/>
    <s v="Achmad Indrawanto"/>
    <m/>
    <s v="SERVICE HANDPHONE"/>
    <m/>
    <x v="0"/>
    <m/>
    <s v="YUVI NOFERIANTO"/>
    <m/>
    <x v="4"/>
    <m/>
    <s v="Achmad Indrawanto"/>
    <m/>
    <s v="REPAIR"/>
    <m/>
    <s v="OPPO"/>
    <m/>
    <s v="Oppo a53"/>
    <m/>
    <s v="JASA71"/>
    <m/>
    <s v="JASA REPAIR"/>
    <m/>
    <n v="0"/>
    <m/>
    <n v="1"/>
    <m/>
    <n v="175000"/>
    <m/>
    <n v="175000"/>
    <m/>
    <s v="Achmad Indrawanto"/>
    <m/>
    <s v="N/A"/>
  </r>
  <r>
    <m/>
    <x v="6"/>
    <m/>
    <s v="MF-FP.24808"/>
    <m/>
    <s v="MF-ST.22302"/>
    <m/>
    <d v="2026-04-30T00:00:00"/>
    <m/>
    <s v="Member Reguler"/>
    <m/>
    <s v="C.13132"/>
    <m/>
    <s v="RINA"/>
    <m/>
    <s v="Achmad Indrawanto"/>
    <m/>
    <s v="SERVICE HANDPHONE"/>
    <m/>
    <x v="2"/>
    <m/>
    <s v="YUVI NOFERIANTO"/>
    <m/>
    <x v="4"/>
    <m/>
    <s v="Achmad Indrawanto"/>
    <m/>
    <s v="REPAIR"/>
    <m/>
    <s v="OPPO"/>
    <m/>
    <s v="Oppo a53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6"/>
    <m/>
    <s v="MF-FP.19660 - OV1"/>
    <m/>
    <s v="MF-ST.22297"/>
    <m/>
    <d v="2026-04-30T00:00:00"/>
    <m/>
    <s v="Member Reguler"/>
    <m/>
    <s v="C.10705"/>
    <m/>
    <s v="MIRANGGA"/>
    <m/>
    <s v="Achmad Indrawanto"/>
    <m/>
    <s v="SERVICE HANDPHONE"/>
    <m/>
    <x v="1"/>
    <m/>
    <s v="MUSTOFA"/>
    <m/>
    <x v="1"/>
    <m/>
    <s v="Achmad Indrawanto"/>
    <m/>
    <s v="BATERAI"/>
    <m/>
    <s v="APPLE"/>
    <m/>
    <s v="IPHONE 7 PLUS"/>
    <m/>
    <s v="100129"/>
    <m/>
    <s v="BATER IPH 7 PLUS"/>
    <m/>
    <n v="102421.61171500001"/>
    <m/>
    <n v="1"/>
    <m/>
    <n v="110000"/>
    <m/>
    <n v="110000"/>
    <m/>
    <s v="Achmad Indrawanto"/>
    <m/>
    <s v="N/A"/>
  </r>
  <r>
    <m/>
    <x v="6"/>
    <m/>
    <s v="MF-FP.24809"/>
    <m/>
    <s v="MF-ST.22304"/>
    <m/>
    <d v="2026-04-30T00:00:00"/>
    <m/>
    <s v="Member Reguler"/>
    <m/>
    <s v="C.13133"/>
    <m/>
    <s v="ADJI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5676"/>
    <m/>
    <s v="ROBOT OTG RT-OTG04"/>
    <m/>
    <n v="28275.5"/>
    <m/>
    <n v="1"/>
    <m/>
    <n v="55000"/>
    <m/>
    <n v="55000"/>
    <m/>
    <s v="Achmad Indrawanto"/>
    <m/>
    <s v="N/A"/>
  </r>
  <r>
    <m/>
    <x v="6"/>
    <m/>
    <s v="MF-FP.24806"/>
    <m/>
    <s v="MF-ST.21948"/>
    <m/>
    <d v="2026-04-16T00:00:00"/>
    <m/>
    <s v="Member Reguler"/>
    <m/>
    <s v="C.03060"/>
    <m/>
    <s v="DEDI"/>
    <m/>
    <s v="WAHYU PRATAMA"/>
    <m/>
    <s v="SERVICE HANDPHONE"/>
    <m/>
    <x v="0"/>
    <m/>
    <s v="ARIFIN SANTOSO JATIMULYA"/>
    <m/>
    <x v="6"/>
    <m/>
    <s v="Achmad Indrawanto"/>
    <m/>
    <s v="SPEAKER"/>
    <m/>
    <s v="ASUS"/>
    <m/>
    <s v="A46C"/>
    <m/>
    <s v="JASA71"/>
    <m/>
    <s v="JASA REPAIR"/>
    <m/>
    <n v="0"/>
    <m/>
    <n v="1"/>
    <m/>
    <n v="340000"/>
    <m/>
    <n v="340000"/>
    <m/>
    <s v="Achmad Indrawanto"/>
    <m/>
    <s v="N/A"/>
  </r>
  <r>
    <m/>
    <x v="6"/>
    <m/>
    <s v="MF-FP.24806"/>
    <m/>
    <s v="MF-ST.21948"/>
    <m/>
    <d v="2026-04-16T00:00:00"/>
    <m/>
    <s v="Member Reguler"/>
    <m/>
    <s v="C.03060"/>
    <m/>
    <s v="DEDI"/>
    <m/>
    <s v="WAHYU PRATAMA"/>
    <m/>
    <s v="SERVICE HANDPHONE"/>
    <m/>
    <x v="1"/>
    <m/>
    <s v="ARIFIN SANTOSO JATIMULYA"/>
    <m/>
    <x v="6"/>
    <m/>
    <s v="Achmad Indrawanto"/>
    <m/>
    <s v="SPEAKER"/>
    <m/>
    <s v="ASUS"/>
    <m/>
    <s v="A46C"/>
    <m/>
    <s v="107182"/>
    <m/>
    <s v="SPKR. LPT ASS A46C K46C K46CM K46CA S46C E46C A46C K46 A46"/>
    <m/>
    <n v="226000"/>
    <m/>
    <n v="1"/>
    <m/>
    <n v="285000"/>
    <m/>
    <n v="285000"/>
    <m/>
    <s v="Achmad Indrawanto"/>
    <m/>
    <s v="N/A"/>
  </r>
  <r>
    <m/>
    <x v="6"/>
    <m/>
    <s v="MF-FP.24806"/>
    <m/>
    <s v="MF-ST.21948"/>
    <m/>
    <d v="2026-04-16T00:00:00"/>
    <m/>
    <s v="Member Reguler"/>
    <m/>
    <s v="C.03060"/>
    <m/>
    <s v="DEDI"/>
    <m/>
    <s v="WAHYU PRATAMA"/>
    <m/>
    <s v="SERVICE HANDPHONE"/>
    <m/>
    <x v="2"/>
    <m/>
    <s v="ARIFIN SANTOSO JATIMULYA"/>
    <m/>
    <x v="6"/>
    <m/>
    <s v="Achmad Indrawanto"/>
    <m/>
    <s v="SPEAKER"/>
    <m/>
    <s v="ASUS"/>
    <m/>
    <s v="A46C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6"/>
    <m/>
    <s v="MF-FP.24807"/>
    <m/>
    <s v="MF-ST.22300"/>
    <m/>
    <d v="2026-04-30T00:00:00"/>
    <m/>
    <s v="Member Reguler"/>
    <m/>
    <s v="MJ0095"/>
    <m/>
    <s v="Rara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2101"/>
    <m/>
    <s v="ROBOT KM3000 KEYBOARD MINI WIRELES + MOUSE"/>
    <m/>
    <n v="173000"/>
    <m/>
    <n v="1"/>
    <m/>
    <n v="250000"/>
    <m/>
    <n v="250000"/>
    <m/>
    <s v="TEGAR PUTRA YANSA SALES"/>
    <m/>
    <s v="N/A"/>
  </r>
  <r>
    <m/>
    <x v="6"/>
    <m/>
    <s v="MF-FP.24811"/>
    <m/>
    <s v="MF-ST.22295"/>
    <m/>
    <d v="2026-04-30T00:00:00"/>
    <m/>
    <s v="Member Reguler"/>
    <m/>
    <s v="C.13128"/>
    <m/>
    <s v="FARIZA"/>
    <m/>
    <s v="Achmad Indrawanto"/>
    <m/>
    <s v="SERVICE HANDPHONE"/>
    <m/>
    <x v="0"/>
    <m/>
    <s v="YUVI NOFERIANTO"/>
    <m/>
    <x v="4"/>
    <m/>
    <s v="Achmad Indrawanto"/>
    <m/>
    <s v="BATERAI"/>
    <m/>
    <s v="XIAOMI"/>
    <m/>
    <s v="Redmi note 9"/>
    <m/>
    <s v="JASA71"/>
    <m/>
    <s v="JASA REPAIR"/>
    <m/>
    <n v="0"/>
    <m/>
    <n v="1"/>
    <m/>
    <n v="130000"/>
    <m/>
    <n v="130000"/>
    <m/>
    <s v="Achmad Indrawanto"/>
    <m/>
    <s v="N/A"/>
  </r>
  <r>
    <m/>
    <x v="6"/>
    <m/>
    <s v="MF-FP.24813"/>
    <m/>
    <s v="MF-ST.22308"/>
    <m/>
    <d v="2026-04-30T00:00:00"/>
    <m/>
    <s v="Umum"/>
    <m/>
    <s v="C.12744"/>
    <m/>
    <s v="EMI"/>
    <m/>
    <s v="WAHYU PRATAMA"/>
    <m/>
    <s v="PENJUALAN AKSESORIS"/>
    <m/>
    <x v="1"/>
    <m/>
    <s v="N/A"/>
    <m/>
    <x v="5"/>
    <m/>
    <s v="WAHYU PRATAMA"/>
    <m/>
    <s v="REPAIR"/>
    <m/>
    <s v="ASUS"/>
    <m/>
    <s v="ASU"/>
    <m/>
    <s v="104088"/>
    <m/>
    <s v="ADPTR LPT ASS 19V 1.75A 4.0*1.35 KOTAK"/>
    <m/>
    <n v="70334.699454000001"/>
    <m/>
    <n v="1"/>
    <m/>
    <n v="250000"/>
    <m/>
    <n v="250000"/>
    <m/>
    <m/>
    <m/>
    <s v="N/A"/>
  </r>
  <r>
    <m/>
    <x v="6"/>
    <m/>
    <s v="MF-FP.24814"/>
    <m/>
    <s v="MF-ST.22309"/>
    <m/>
    <d v="2026-04-30T00:00:00"/>
    <m/>
    <s v="Member Reguler"/>
    <m/>
    <s v="MJ0012"/>
    <m/>
    <s v="Customer Umum"/>
    <m/>
    <s v="WAHYU PRATAMA"/>
    <m/>
    <s v="PENJUALAN AKSESORIS"/>
    <m/>
    <x v="2"/>
    <m/>
    <s v="N/A"/>
    <m/>
    <x v="5"/>
    <m/>
    <s v="WAHYU PRATAMA"/>
    <m/>
    <s v="REPAIR"/>
    <m/>
    <s v="SAMSUNG"/>
    <m/>
    <s v="SAM"/>
    <m/>
    <s v="101490"/>
    <m/>
    <s v="BROOKLYN TPGS. IPH X/IPH XS/IPH 11 PRO VER 2 CLEAR"/>
    <m/>
    <n v="81000"/>
    <m/>
    <n v="1"/>
    <m/>
    <n v="85000"/>
    <m/>
    <n v="85000"/>
    <m/>
    <s v="Alfi (Jatimulya)"/>
    <m/>
    <s v="N/A"/>
  </r>
  <r>
    <m/>
    <x v="6"/>
    <m/>
    <s v="MF-FP.24815"/>
    <m/>
    <s v="MF-ST.22310"/>
    <m/>
    <d v="2026-04-30T00:00:00"/>
    <m/>
    <s v="Member Reguler"/>
    <m/>
    <s v="C.07443"/>
    <m/>
    <s v="IBU ANDIKA"/>
    <m/>
    <s v="WAHYU PRATAMA"/>
    <m/>
    <s v="SERVICE HANDPHONE"/>
    <m/>
    <x v="0"/>
    <m/>
    <s v="MUSTOFA"/>
    <m/>
    <x v="1"/>
    <m/>
    <s v="WAHYU PRATAMA"/>
    <m/>
    <s v="FLEXIBEL ON/OFF"/>
    <m/>
    <s v="XIAOMI"/>
    <m/>
    <s v="NOTE 9 PRIO"/>
    <m/>
    <s v="JASA71"/>
    <m/>
    <s v="JASA REPAIR"/>
    <m/>
    <n v="0"/>
    <m/>
    <n v="1"/>
    <m/>
    <n v="200000"/>
    <m/>
    <n v="200000"/>
    <m/>
    <s v="Achmad Indrawanto"/>
    <m/>
    <s v="N/A"/>
  </r>
  <r>
    <m/>
    <x v="6"/>
    <m/>
    <s v="MF-FP.24815"/>
    <m/>
    <s v="MF-ST.22310"/>
    <m/>
    <d v="2026-04-30T00:00:00"/>
    <m/>
    <s v="Member Reguler"/>
    <m/>
    <s v="C.07443"/>
    <m/>
    <s v="IBU ANDIKA"/>
    <m/>
    <s v="WAHYU PRATAMA"/>
    <m/>
    <s v="SERVICE HANDPHONE"/>
    <m/>
    <x v="1"/>
    <m/>
    <s v="MUSTOFA"/>
    <m/>
    <x v="1"/>
    <m/>
    <s v="WAHYU PRATAMA"/>
    <m/>
    <s v="FLEXIBEL ON/OFF"/>
    <m/>
    <s v="XIAOMI"/>
    <m/>
    <s v="NOTE 9 PRIO"/>
    <m/>
    <s v="100651"/>
    <m/>
    <s v="FLOFV XIO REDMI NOTE 9 PRO"/>
    <m/>
    <n v="8750"/>
    <m/>
    <n v="1"/>
    <m/>
    <n v="20000"/>
    <m/>
    <n v="20000"/>
    <m/>
    <s v="Achmad Indrawanto"/>
    <m/>
    <s v="N/A"/>
  </r>
  <r>
    <m/>
    <x v="6"/>
    <m/>
    <s v="MF-FP.24815"/>
    <m/>
    <s v="MF-ST.22310"/>
    <m/>
    <d v="2026-04-30T00:00:00"/>
    <m/>
    <s v="Member Reguler"/>
    <m/>
    <s v="C.07443"/>
    <m/>
    <s v="IBU ANDIKA"/>
    <m/>
    <s v="WAHYU PRATAMA"/>
    <m/>
    <s v="SERVICE HANDPHONE"/>
    <m/>
    <x v="1"/>
    <m/>
    <s v="MUSTOFA"/>
    <m/>
    <x v="1"/>
    <m/>
    <s v="WAHYU PRATAMA"/>
    <m/>
    <s v="FLEXIBEL ON/OFF"/>
    <m/>
    <s v="XIAOMI"/>
    <m/>
    <s v="NOTE 9 PRIO"/>
    <m/>
    <s v="102431"/>
    <m/>
    <s v="PERNIK XIO REDMI NOTE 9 PRO"/>
    <m/>
    <n v="3500"/>
    <m/>
    <n v="1"/>
    <m/>
    <n v="15000"/>
    <m/>
    <n v="15000"/>
    <m/>
    <s v="Achmad Indrawanto"/>
    <m/>
    <s v="N/A"/>
  </r>
  <r>
    <m/>
    <x v="7"/>
    <m/>
    <s v="MF-FP.24825"/>
    <m/>
    <s v="MF-ST.22321"/>
    <m/>
    <d v="2026-05-01T00:00:00"/>
    <m/>
    <s v="Umum"/>
    <m/>
    <s v="C.12998"/>
    <m/>
    <s v="DITA"/>
    <m/>
    <s v="WAHYU PRATAMA"/>
    <m/>
    <s v="PENJUALAN AKSESORIS"/>
    <m/>
    <x v="2"/>
    <m/>
    <s v="N/A"/>
    <m/>
    <x v="5"/>
    <m/>
    <s v="WAHYU PRATAMA"/>
    <m/>
    <s v="REPAIR"/>
    <m/>
    <s v="SAMSUNG"/>
    <m/>
    <s v="SAM"/>
    <m/>
    <s v="101016"/>
    <m/>
    <s v="KABEL POWER LAPTOP"/>
    <m/>
    <n v="15042.328041999999"/>
    <m/>
    <n v="1"/>
    <m/>
    <n v="50000"/>
    <m/>
    <n v="50000"/>
    <m/>
    <m/>
    <m/>
    <s v="N/A"/>
  </r>
  <r>
    <m/>
    <x v="7"/>
    <m/>
    <s v="MF-FP.24827"/>
    <m/>
    <s v="MF-ST.22208"/>
    <m/>
    <d v="2026-04-26T00:00:00"/>
    <m/>
    <s v="Umum"/>
    <m/>
    <s v="C.13098"/>
    <m/>
    <s v="ALFATH"/>
    <m/>
    <s v="HANIF"/>
    <m/>
    <s v="SERVICE HANDPHONE"/>
    <m/>
    <x v="2"/>
    <m/>
    <s v="YUVI NOFERIANTO"/>
    <m/>
    <x v="4"/>
    <m/>
    <s v="WAHYU PRATAMA"/>
    <m/>
    <s v="HARDWARE"/>
    <m/>
    <s v="APPLE"/>
    <m/>
    <s v="Ipad gen 9"/>
    <m/>
    <s v="AKOR-014"/>
    <m/>
    <s v="ORAIMO CABLE TYPE-C 2A OCD-114C"/>
    <m/>
    <n v="15000"/>
    <m/>
    <n v="1"/>
    <m/>
    <n v="15000"/>
    <m/>
    <n v="15000"/>
    <m/>
    <m/>
    <m/>
    <s v="N/A"/>
  </r>
  <r>
    <m/>
    <x v="7"/>
    <m/>
    <s v="MF-FP.24826"/>
    <m/>
    <s v="MF-ST.22322"/>
    <m/>
    <d v="2026-05-01T00:00:00"/>
    <m/>
    <s v="Umum"/>
    <m/>
    <s v="C.13139"/>
    <m/>
    <s v="IKHSAN"/>
    <m/>
    <s v="WAHYU PRATAMA"/>
    <m/>
    <s v="SERVICE HANDPHONE"/>
    <m/>
    <x v="0"/>
    <m/>
    <s v="MUSTOFA"/>
    <m/>
    <x v="1"/>
    <m/>
    <s v="WAHYU PRATAMA"/>
    <m/>
    <s v="BATERAI"/>
    <m/>
    <s v="XIAOMI"/>
    <m/>
    <s v="NOTE 10 PRO"/>
    <m/>
    <s v="JASA71"/>
    <m/>
    <s v="JASA REPAIR"/>
    <m/>
    <n v="0"/>
    <m/>
    <n v="1"/>
    <m/>
    <n v="335000"/>
    <m/>
    <n v="335000"/>
    <m/>
    <m/>
    <m/>
    <s v="N/A"/>
  </r>
  <r>
    <m/>
    <x v="7"/>
    <m/>
    <s v="MF-FP.24826"/>
    <m/>
    <s v="MF-ST.22322"/>
    <m/>
    <d v="2026-05-01T00:00:00"/>
    <m/>
    <s v="Umum"/>
    <m/>
    <s v="C.13139"/>
    <m/>
    <s v="IKHSAN"/>
    <m/>
    <s v="WAHYU PRATAMA"/>
    <m/>
    <s v="SERVICE HANDPHONE"/>
    <m/>
    <x v="1"/>
    <m/>
    <s v="MUSTOFA"/>
    <m/>
    <x v="1"/>
    <m/>
    <s v="WAHYU PRATAMA"/>
    <m/>
    <s v="BATERAI"/>
    <m/>
    <s v="XIAOMI"/>
    <m/>
    <s v="NOTE 10 PRO"/>
    <m/>
    <s v="100180"/>
    <m/>
    <s v="BATER XIO REDMI NOTE 9 PRO/NOTE 10 PRO BN53"/>
    <m/>
    <n v="95582.340844000006"/>
    <m/>
    <n v="1"/>
    <m/>
    <n v="135000"/>
    <m/>
    <n v="135000"/>
    <m/>
    <m/>
    <m/>
    <s v="N/A"/>
  </r>
  <r>
    <m/>
    <x v="7"/>
    <m/>
    <s v="MF-FP.24826"/>
    <m/>
    <s v="MF-ST.22322"/>
    <m/>
    <d v="2026-05-01T00:00:00"/>
    <m/>
    <s v="Umum"/>
    <m/>
    <s v="C.13139"/>
    <m/>
    <s v="IKHSAN"/>
    <m/>
    <s v="WAHYU PRATAMA"/>
    <m/>
    <s v="SERVICE HANDPHONE"/>
    <m/>
    <x v="1"/>
    <m/>
    <s v="MUSTOFA"/>
    <m/>
    <x v="1"/>
    <m/>
    <s v="WAHYU PRATAMA"/>
    <m/>
    <s v="BATERAI"/>
    <m/>
    <s v="XIAOMI"/>
    <m/>
    <s v="NOTE 10 PRO"/>
    <m/>
    <s v="101621"/>
    <m/>
    <s v="FLOFV XIO REDMI NOTE 10 PRO"/>
    <m/>
    <n v="4500"/>
    <m/>
    <n v="1"/>
    <m/>
    <n v="15000"/>
    <m/>
    <n v="15000"/>
    <m/>
    <m/>
    <m/>
    <s v="N/A"/>
  </r>
  <r>
    <m/>
    <x v="7"/>
    <m/>
    <s v="MF-FP.24826"/>
    <m/>
    <s v="MF-ST.22322"/>
    <m/>
    <d v="2026-05-01T00:00:00"/>
    <m/>
    <s v="Umum"/>
    <m/>
    <s v="C.13139"/>
    <m/>
    <s v="IKHSAN"/>
    <m/>
    <s v="WAHYU PRATAMA"/>
    <m/>
    <s v="SERVICE HANDPHONE"/>
    <m/>
    <x v="2"/>
    <m/>
    <s v="MUSTOFA"/>
    <m/>
    <x v="1"/>
    <m/>
    <s v="WAHYU PRATAMA"/>
    <m/>
    <s v="BATERAI"/>
    <m/>
    <s v="XIAOMI"/>
    <m/>
    <s v="NOTE 10 PRO"/>
    <m/>
    <s v="AKOR-014"/>
    <m/>
    <s v="ORAIMO CABLE TYPE-C 2A OCD-114C"/>
    <m/>
    <n v="15000"/>
    <m/>
    <n v="1"/>
    <m/>
    <n v="15000"/>
    <m/>
    <n v="15000"/>
    <m/>
    <m/>
    <m/>
    <s v="N/A"/>
  </r>
  <r>
    <m/>
    <x v="7"/>
    <m/>
    <s v="MF-FP.24827"/>
    <m/>
    <s v="MF-ST.22208"/>
    <m/>
    <d v="2026-04-26T00:00:00"/>
    <m/>
    <s v="Umum"/>
    <m/>
    <s v="C.13098"/>
    <m/>
    <s v="ALFATH"/>
    <m/>
    <s v="HANIF"/>
    <m/>
    <s v="SERVICE HANDPHONE"/>
    <m/>
    <x v="0"/>
    <m/>
    <s v="YUVI NOFERIANTO"/>
    <m/>
    <x v="4"/>
    <m/>
    <s v="WAHYU PRATAMA"/>
    <m/>
    <s v="HARDWARE"/>
    <m/>
    <s v="APPLE"/>
    <m/>
    <s v="Ipad gen 9"/>
    <m/>
    <s v="JASA71"/>
    <m/>
    <s v="JASA REPAIR"/>
    <m/>
    <n v="0"/>
    <m/>
    <n v="1"/>
    <m/>
    <n v="450000"/>
    <m/>
    <n v="450000"/>
    <m/>
    <m/>
    <m/>
    <s v="N/A"/>
  </r>
  <r>
    <m/>
    <x v="7"/>
    <m/>
    <s v="MF-FP.24827"/>
    <m/>
    <s v="MF-ST.22208"/>
    <m/>
    <d v="2026-04-26T00:00:00"/>
    <m/>
    <s v="Umum"/>
    <m/>
    <s v="C.13098"/>
    <m/>
    <s v="ALFATH"/>
    <m/>
    <s v="HANIF"/>
    <m/>
    <s v="SERVICE HANDPHONE"/>
    <m/>
    <x v="1"/>
    <m/>
    <s v="YUVI NOFERIANTO"/>
    <m/>
    <x v="4"/>
    <m/>
    <s v="WAHYU PRATAMA"/>
    <m/>
    <s v="HARDWARE"/>
    <m/>
    <s v="APPLE"/>
    <m/>
    <s v="Ipad gen 9"/>
    <m/>
    <s v="105020"/>
    <m/>
    <s v="TCS.. IPAD 9 A2602 B"/>
    <m/>
    <n v="118236"/>
    <m/>
    <n v="1"/>
    <m/>
    <n v="135000"/>
    <m/>
    <n v="135000"/>
    <m/>
    <m/>
    <m/>
    <s v="N/A"/>
  </r>
  <r>
    <m/>
    <x v="7"/>
    <m/>
    <s v="MF-FP.24828"/>
    <m/>
    <s v="MF-ST.22207"/>
    <m/>
    <d v="2026-04-26T00:00:00"/>
    <m/>
    <s v="Umum"/>
    <m/>
    <s v="C.13098"/>
    <m/>
    <s v="ALFATH"/>
    <m/>
    <s v="HANIF"/>
    <m/>
    <s v="SERVICE HANDPHONE"/>
    <m/>
    <x v="0"/>
    <m/>
    <s v="YUVI NOFERIANTO"/>
    <m/>
    <x v="4"/>
    <m/>
    <s v="WAHYU PRATAMA"/>
    <m/>
    <s v="LCD"/>
    <m/>
    <s v="SAMSUNG"/>
    <m/>
    <s v="Samsung TAB a9"/>
    <m/>
    <s v="JASA71"/>
    <m/>
    <s v="JASA REPAIR"/>
    <m/>
    <n v="0"/>
    <m/>
    <n v="1"/>
    <m/>
    <n v="350000"/>
    <m/>
    <n v="350000"/>
    <m/>
    <m/>
    <m/>
    <s v="N/A"/>
  </r>
  <r>
    <m/>
    <x v="7"/>
    <m/>
    <s v="MF-FP.24828"/>
    <m/>
    <s v="MF-ST.22207"/>
    <m/>
    <d v="2026-04-26T00:00:00"/>
    <m/>
    <s v="Umum"/>
    <m/>
    <s v="C.13098"/>
    <m/>
    <s v="ALFATH"/>
    <m/>
    <s v="HANIF"/>
    <m/>
    <s v="SERVICE HANDPHONE"/>
    <m/>
    <x v="1"/>
    <m/>
    <s v="YUVI NOFERIANTO"/>
    <m/>
    <x v="4"/>
    <m/>
    <s v="WAHYU PRATAMA"/>
    <m/>
    <s v="LCD"/>
    <m/>
    <s v="SAMSUNG"/>
    <m/>
    <s v="Samsung TAB a9"/>
    <m/>
    <s v="105596"/>
    <m/>
    <s v="LCD.. SAM TAB A9 SM-X115 X110 B"/>
    <m/>
    <n v="244100.81161899999"/>
    <m/>
    <n v="1"/>
    <m/>
    <n v="335000"/>
    <m/>
    <n v="335000"/>
    <m/>
    <m/>
    <m/>
    <s v="N/A"/>
  </r>
  <r>
    <m/>
    <x v="7"/>
    <m/>
    <s v="MF-FP.24828"/>
    <m/>
    <s v="MF-ST.22207"/>
    <m/>
    <d v="2026-04-26T00:00:00"/>
    <m/>
    <s v="Umum"/>
    <m/>
    <s v="C.13098"/>
    <m/>
    <s v="ALFATH"/>
    <m/>
    <s v="HANIF"/>
    <m/>
    <s v="SERVICE HANDPHONE"/>
    <m/>
    <x v="2"/>
    <m/>
    <s v="YUVI NOFERIANTO"/>
    <m/>
    <x v="4"/>
    <m/>
    <s v="WAHYU PRATAMA"/>
    <m/>
    <s v="LCD"/>
    <m/>
    <s v="SAMSUNG"/>
    <m/>
    <s v="Samsung TAB a9"/>
    <m/>
    <s v="AKOR-014"/>
    <m/>
    <s v="ORAIMO CABLE TYPE-C 2A OCD-114C"/>
    <m/>
    <n v="15000"/>
    <m/>
    <n v="1"/>
    <m/>
    <n v="15000"/>
    <m/>
    <n v="15000"/>
    <m/>
    <m/>
    <m/>
    <s v="N/A"/>
  </r>
  <r>
    <m/>
    <x v="7"/>
    <m/>
    <s v="MF-FP.24829"/>
    <m/>
    <s v="MF-ST.22323"/>
    <m/>
    <d v="2026-05-01T00:00:00"/>
    <m/>
    <s v="Umum"/>
    <m/>
    <s v="C.13140"/>
    <m/>
    <s v="KHOLIF"/>
    <m/>
    <s v="WAHYU PRATAMA"/>
    <m/>
    <s v="SERVICE HANDPHONE"/>
    <m/>
    <x v="0"/>
    <m/>
    <s v="YUVI NOFERIANTO"/>
    <m/>
    <x v="4"/>
    <m/>
    <s v="WAHYU PRATAMA"/>
    <m/>
    <s v="LCD"/>
    <m/>
    <s v="OPPO"/>
    <m/>
    <s v="A52"/>
    <m/>
    <s v="JASA71"/>
    <m/>
    <s v="JASA REPAIR"/>
    <m/>
    <n v="0"/>
    <m/>
    <n v="1"/>
    <m/>
    <n v="200000"/>
    <m/>
    <n v="200000"/>
    <m/>
    <m/>
    <m/>
    <s v="N/A"/>
  </r>
  <r>
    <m/>
    <x v="7"/>
    <m/>
    <s v="MF-FP.24829"/>
    <m/>
    <s v="MF-ST.22323"/>
    <m/>
    <d v="2026-05-01T00:00:00"/>
    <m/>
    <s v="Umum"/>
    <m/>
    <s v="C.13140"/>
    <m/>
    <s v="KHOLIF"/>
    <m/>
    <s v="WAHYU PRATAMA"/>
    <m/>
    <s v="SERVICE HANDPHONE"/>
    <m/>
    <x v="1"/>
    <m/>
    <s v="YUVI NOFERIANTO"/>
    <m/>
    <x v="4"/>
    <m/>
    <s v="WAHYU PRATAMA"/>
    <m/>
    <s v="LCD"/>
    <m/>
    <s v="OPPO"/>
    <m/>
    <s v="A52"/>
    <m/>
    <s v="100112"/>
    <m/>
    <s v="LCD.. OPP A52 A72 A92 2020 B FST"/>
    <m/>
    <n v="94625.599170999994"/>
    <m/>
    <n v="1"/>
    <m/>
    <n v="185000"/>
    <m/>
    <n v="185000"/>
    <m/>
    <m/>
    <m/>
    <s v="N/A"/>
  </r>
  <r>
    <m/>
    <x v="7"/>
    <m/>
    <s v="MF-FP.24830"/>
    <m/>
    <s v="MF-ST.22325"/>
    <m/>
    <d v="2026-05-01T00:00:00"/>
    <m/>
    <s v="Umum"/>
    <m/>
    <s v="C.13141"/>
    <m/>
    <s v="YUDA"/>
    <m/>
    <s v="WAHYU PRATAMA"/>
    <m/>
    <s v="SERVICE HANDPHONE"/>
    <m/>
    <x v="0"/>
    <m/>
    <s v="MUSTOFA"/>
    <m/>
    <x v="1"/>
    <m/>
    <s v="WAHYU PRATAMA"/>
    <m/>
    <s v="BATERAI"/>
    <m/>
    <s v="XIAOMI"/>
    <m/>
    <s v="NOT 7"/>
    <m/>
    <s v="JASA71"/>
    <m/>
    <s v="JASA REPAIR"/>
    <m/>
    <n v="0"/>
    <m/>
    <n v="1"/>
    <m/>
    <n v="200000"/>
    <m/>
    <n v="200000"/>
    <m/>
    <m/>
    <m/>
    <s v="N/A"/>
  </r>
  <r>
    <m/>
    <x v="7"/>
    <m/>
    <s v="MF-FP.24830"/>
    <m/>
    <s v="MF-ST.22325"/>
    <m/>
    <d v="2026-05-01T00:00:00"/>
    <m/>
    <s v="Umum"/>
    <m/>
    <s v="C.13141"/>
    <m/>
    <s v="YUDA"/>
    <m/>
    <s v="WAHYU PRATAMA"/>
    <m/>
    <s v="SERVICE HANDPHONE"/>
    <m/>
    <x v="1"/>
    <m/>
    <s v="MUSTOFA"/>
    <m/>
    <x v="1"/>
    <m/>
    <s v="WAHYU PRATAMA"/>
    <m/>
    <s v="BATERAI"/>
    <m/>
    <s v="XIAOMI"/>
    <m/>
    <s v="NOT 7"/>
    <m/>
    <s v="100110"/>
    <m/>
    <s v="BATER XIO REDMI NOTE 7/7 PRO BN4A"/>
    <m/>
    <n v="72500"/>
    <m/>
    <n v="1"/>
    <m/>
    <n v="135000"/>
    <m/>
    <n v="135000"/>
    <m/>
    <m/>
    <m/>
    <s v="N/A"/>
  </r>
  <r>
    <m/>
    <x v="7"/>
    <m/>
    <s v="MF-FP.24829"/>
    <m/>
    <s v="MF-ST.22323"/>
    <m/>
    <d v="2026-05-01T00:00:00"/>
    <m/>
    <s v="Umum"/>
    <m/>
    <s v="C.13140"/>
    <m/>
    <s v="KHOLIF"/>
    <m/>
    <s v="WAHYU PRATAMA"/>
    <m/>
    <s v="SERVICE HANDPHONE"/>
    <m/>
    <x v="2"/>
    <m/>
    <s v="YUVI NOFERIANTO"/>
    <m/>
    <x v="4"/>
    <m/>
    <s v="WAHYU PRATAMA"/>
    <m/>
    <s v="LCD"/>
    <m/>
    <s v="OPPO"/>
    <m/>
    <s v="A52"/>
    <m/>
    <s v="AKOR-014"/>
    <m/>
    <s v="ORAIMO CABLE TYPE-C 2A OCD-114C"/>
    <m/>
    <n v="15000"/>
    <m/>
    <n v="1"/>
    <m/>
    <n v="15000"/>
    <m/>
    <n v="15000"/>
    <m/>
    <m/>
    <m/>
    <s v="N/A"/>
  </r>
  <r>
    <m/>
    <x v="7"/>
    <m/>
    <s v="MF-FP.24831"/>
    <m/>
    <s v="MF-ST.22326"/>
    <m/>
    <d v="2026-05-01T00:00:00"/>
    <m/>
    <s v="Member Reguler"/>
    <m/>
    <s v="C.12501"/>
    <m/>
    <s v="RUDI"/>
    <m/>
    <s v="WAHYU PRATAMA"/>
    <m/>
    <s v="SERVICE HANDPHONE"/>
    <m/>
    <x v="0"/>
    <m/>
    <s v="YUVI NOFERIANTO"/>
    <m/>
    <x v="4"/>
    <m/>
    <s v="WAHYU PRATAMA"/>
    <m/>
    <s v="REPAIR"/>
    <m/>
    <s v="SAMSUNG"/>
    <m/>
    <s v="SAM"/>
    <m/>
    <s v="JASA71"/>
    <m/>
    <s v="JASA REPAIR"/>
    <m/>
    <n v="0"/>
    <m/>
    <n v="1"/>
    <m/>
    <n v="35000"/>
    <m/>
    <n v="35000"/>
    <m/>
    <s v="ARI MARWAN"/>
    <m/>
    <s v="N/A"/>
  </r>
  <r>
    <m/>
    <x v="7"/>
    <m/>
    <s v="MF-FP.24831"/>
    <m/>
    <s v="MF-ST.22326"/>
    <m/>
    <d v="2026-05-01T00:00:00"/>
    <m/>
    <s v="Member Reguler"/>
    <m/>
    <s v="C.12501"/>
    <m/>
    <s v="RUDI"/>
    <m/>
    <s v="WAHYU PRATAMA"/>
    <m/>
    <s v="SERVICE HANDPHONE"/>
    <m/>
    <x v="2"/>
    <m/>
    <s v="YUVI NOFERIANTO"/>
    <m/>
    <x v="4"/>
    <m/>
    <s v="WAHYU PRATAMA"/>
    <m/>
    <s v="REPAIR"/>
    <m/>
    <s v="SAMSUNG"/>
    <m/>
    <s v="SAM"/>
    <m/>
    <s v="AKOR-014"/>
    <m/>
    <s v="ORAIMO CABLE TYPE-C 2A OCD-114C"/>
    <m/>
    <n v="15000"/>
    <m/>
    <n v="1"/>
    <m/>
    <n v="15000"/>
    <m/>
    <n v="15000"/>
    <m/>
    <s v="ARI MARWAN"/>
    <m/>
    <s v="N/A"/>
  </r>
  <r>
    <m/>
    <x v="7"/>
    <m/>
    <s v="MF-FP.24832"/>
    <m/>
    <s v="MF-ST.22327"/>
    <m/>
    <d v="2026-05-01T00:00:00"/>
    <m/>
    <s v="Umum"/>
    <m/>
    <s v="C.08487"/>
    <m/>
    <s v="PAK BAGAS KARA SEMBADA"/>
    <m/>
    <s v="WAHYU PRATAMA"/>
    <m/>
    <s v="SERVICE LAPTOP"/>
    <m/>
    <x v="2"/>
    <m/>
    <s v="YUVI NOFERIANTO"/>
    <m/>
    <x v="4"/>
    <m/>
    <s v="WAHYU PRATAMA"/>
    <m/>
    <s v="LCD"/>
    <m/>
    <s v="OPPO"/>
    <m/>
    <s v="A60"/>
    <m/>
    <s v="AKOR-014"/>
    <m/>
    <s v="ORAIMO CABLE TYPE-C 2A OCD-114C"/>
    <m/>
    <n v="15000"/>
    <m/>
    <n v="1"/>
    <m/>
    <n v="15000"/>
    <m/>
    <n v="15000"/>
    <m/>
    <m/>
    <m/>
    <s v="N/A"/>
  </r>
  <r>
    <m/>
    <x v="7"/>
    <m/>
    <s v="MF-FP.24830"/>
    <m/>
    <s v="MF-ST.22325"/>
    <m/>
    <d v="2026-05-01T00:00:00"/>
    <m/>
    <s v="Umum"/>
    <m/>
    <s v="C.13141"/>
    <m/>
    <s v="YUDA"/>
    <m/>
    <s v="WAHYU PRATAMA"/>
    <m/>
    <s v="SERVICE HANDPHONE"/>
    <m/>
    <x v="2"/>
    <m/>
    <s v="MUSTOFA"/>
    <m/>
    <x v="1"/>
    <m/>
    <s v="WAHYU PRATAMA"/>
    <m/>
    <s v="BATERAI"/>
    <m/>
    <s v="XIAOMI"/>
    <m/>
    <s v="NOT 7"/>
    <m/>
    <s v="AKOR-014"/>
    <m/>
    <s v="ORAIMO CABLE TYPE-C 2A OCD-114C"/>
    <m/>
    <n v="15000"/>
    <m/>
    <n v="1"/>
    <m/>
    <n v="15000"/>
    <m/>
    <n v="15000"/>
    <m/>
    <m/>
    <m/>
    <s v="N/A"/>
  </r>
  <r>
    <m/>
    <x v="7"/>
    <m/>
    <s v="MF-FP.24832"/>
    <m/>
    <s v="MF-ST.22327"/>
    <m/>
    <d v="2026-05-01T00:00:00"/>
    <m/>
    <s v="Umum"/>
    <m/>
    <s v="C.08487"/>
    <m/>
    <s v="PAK BAGAS KARA SEMBADA"/>
    <m/>
    <s v="WAHYU PRATAMA"/>
    <m/>
    <s v="SERVICE LAPTOP"/>
    <m/>
    <x v="0"/>
    <m/>
    <s v="YUVI NOFERIANTO"/>
    <m/>
    <x v="4"/>
    <m/>
    <s v="WAHYU PRATAMA"/>
    <m/>
    <s v="LCD"/>
    <m/>
    <s v="OPPO"/>
    <m/>
    <s v="A60"/>
    <m/>
    <s v="JASA71"/>
    <m/>
    <s v="JASA REPAIR"/>
    <m/>
    <n v="0"/>
    <m/>
    <n v="1"/>
    <m/>
    <n v="200000"/>
    <m/>
    <n v="200000"/>
    <m/>
    <m/>
    <m/>
    <s v="N/A"/>
  </r>
  <r>
    <m/>
    <x v="7"/>
    <m/>
    <s v="MF-FP.24833"/>
    <m/>
    <s v="MF-ST.22167"/>
    <m/>
    <d v="2026-04-24T00:00:00"/>
    <m/>
    <s v="Umum"/>
    <m/>
    <s v="C.13079"/>
    <m/>
    <s v="IRFAN"/>
    <m/>
    <s v="WAHYU PRATAMA"/>
    <m/>
    <s v="SERVICE LAPTOP"/>
    <m/>
    <x v="0"/>
    <m/>
    <s v="ABDUL MUNAJAT"/>
    <m/>
    <x v="3"/>
    <m/>
    <s v="WAHYU PRATAMA"/>
    <m/>
    <s v="KEYBOARD"/>
    <m/>
    <s v="ASUS"/>
    <m/>
    <s v="Asus Tuf F506IC"/>
    <m/>
    <s v="JASA71"/>
    <m/>
    <s v="JASA REPAIR"/>
    <m/>
    <n v="0"/>
    <m/>
    <n v="1"/>
    <m/>
    <n v="650000"/>
    <m/>
    <n v="650000"/>
    <m/>
    <m/>
    <m/>
    <s v="N/A"/>
  </r>
  <r>
    <m/>
    <x v="7"/>
    <m/>
    <s v="MF-FP.24832"/>
    <m/>
    <s v="MF-ST.22327"/>
    <m/>
    <d v="2026-05-01T00:00:00"/>
    <m/>
    <s v="Umum"/>
    <m/>
    <s v="C.08487"/>
    <m/>
    <s v="PAK BAGAS KARA SEMBADA"/>
    <m/>
    <s v="WAHYU PRATAMA"/>
    <m/>
    <s v="SERVICE LAPTOP"/>
    <m/>
    <x v="1"/>
    <m/>
    <s v="YUVI NOFERIANTO"/>
    <m/>
    <x v="4"/>
    <m/>
    <s v="WAHYU PRATAMA"/>
    <m/>
    <s v="LCD"/>
    <m/>
    <s v="OPPO"/>
    <m/>
    <s v="A60"/>
    <m/>
    <s v="105057"/>
    <m/>
    <s v="LCD.. RLM C65/OPP A60 / OPP A80 / OPP A3 5G / OPP A3 PRO B"/>
    <m/>
    <n v="98938.398757000003"/>
    <m/>
    <n v="1"/>
    <m/>
    <n v="235000"/>
    <m/>
    <n v="235000"/>
    <m/>
    <m/>
    <m/>
    <s v="N/A"/>
  </r>
  <r>
    <m/>
    <x v="7"/>
    <m/>
    <s v="MF-FP.24833"/>
    <m/>
    <s v="MF-ST.22167"/>
    <m/>
    <d v="2026-04-24T00:00:00"/>
    <m/>
    <s v="Umum"/>
    <m/>
    <s v="C.13079"/>
    <m/>
    <s v="IRFAN"/>
    <m/>
    <s v="WAHYU PRATAMA"/>
    <m/>
    <s v="SERVICE LAPTOP"/>
    <m/>
    <x v="1"/>
    <m/>
    <s v="ABDUL MUNAJAT"/>
    <m/>
    <x v="3"/>
    <m/>
    <s v="WAHYU PRATAMA"/>
    <m/>
    <s v="KEYBOARD"/>
    <m/>
    <s v="ASUS"/>
    <m/>
    <s v="Asus Tuf F506IC"/>
    <m/>
    <s v="106643"/>
    <m/>
    <s v="KYBRD LPT ASS TUFF 15 FX506 FA506IC BACKLIT"/>
    <m/>
    <n v="213000"/>
    <m/>
    <n v="1"/>
    <m/>
    <n v="285000"/>
    <m/>
    <n v="285000"/>
    <m/>
    <m/>
    <m/>
    <s v="N/A"/>
  </r>
  <r>
    <m/>
    <x v="7"/>
    <m/>
    <s v="MF-FP.24833"/>
    <m/>
    <s v="MF-ST.22167"/>
    <m/>
    <d v="2026-04-24T00:00:00"/>
    <m/>
    <s v="Umum"/>
    <m/>
    <s v="C.13079"/>
    <m/>
    <s v="IRFAN"/>
    <m/>
    <s v="WAHYU PRATAMA"/>
    <m/>
    <s v="SERVICE LAPTOP"/>
    <m/>
    <x v="2"/>
    <m/>
    <s v="ABDUL MUNAJAT"/>
    <m/>
    <x v="3"/>
    <m/>
    <s v="WAHYU PRATAMA"/>
    <m/>
    <s v="KEYBOARD"/>
    <m/>
    <s v="ASUS"/>
    <m/>
    <s v="Asus Tuf F506IC"/>
    <m/>
    <s v="AKOR-014"/>
    <m/>
    <s v="ORAIMO CABLE TYPE-C 2A OCD-114C"/>
    <m/>
    <n v="15000"/>
    <m/>
    <n v="1"/>
    <m/>
    <n v="15000"/>
    <m/>
    <n v="15000"/>
    <m/>
    <m/>
    <m/>
    <s v="N/A"/>
  </r>
  <r>
    <m/>
    <x v="7"/>
    <m/>
    <s v="MF-FP.24834"/>
    <m/>
    <s v="MF-ST.22333"/>
    <m/>
    <d v="2026-05-01T00:00:00"/>
    <m/>
    <s v="Member Reguler"/>
    <m/>
    <s v="C.04819"/>
    <m/>
    <s v="DWI"/>
    <m/>
    <s v="WAHYU PRATAMA"/>
    <m/>
    <s v="PENJUALAN AKSESORIS"/>
    <m/>
    <x v="2"/>
    <m/>
    <s v="N/A"/>
    <m/>
    <x v="5"/>
    <m/>
    <s v="WAHYU PRATAMA"/>
    <m/>
    <s v="REPAIR"/>
    <m/>
    <s v="APPLE"/>
    <m/>
    <s v="APL"/>
    <m/>
    <s v="106489"/>
    <m/>
    <s v="RAPA ADAPTOR CHARGER POWER GAN MINI (GAN20W MFI) DM1104"/>
    <m/>
    <n v="186200"/>
    <m/>
    <n v="1"/>
    <m/>
    <n v="230000"/>
    <m/>
    <n v="230000"/>
    <m/>
    <m/>
    <m/>
    <s v="N/A"/>
  </r>
  <r>
    <m/>
    <x v="7"/>
    <m/>
    <s v="MF-FP.24835"/>
    <m/>
    <s v="MF-ST.22319"/>
    <m/>
    <d v="2026-04-30T00:00:00"/>
    <m/>
    <s v="Umum"/>
    <m/>
    <s v="C.13138"/>
    <m/>
    <s v="TITIN"/>
    <m/>
    <s v="WAHYU PRATAMA"/>
    <m/>
    <s v="SERVICE HANDPHONE"/>
    <m/>
    <x v="0"/>
    <m/>
    <s v="MUSTOFA"/>
    <m/>
    <x v="1"/>
    <m/>
    <s v="WAHYU PRATAMA"/>
    <m/>
    <s v="FLEXIBEL ON/OFF"/>
    <m/>
    <s v="OPPO"/>
    <m/>
    <s v="A12"/>
    <m/>
    <s v="JASA71"/>
    <m/>
    <s v="JASA REPAIR"/>
    <m/>
    <n v="0"/>
    <m/>
    <n v="1"/>
    <m/>
    <n v="160000"/>
    <m/>
    <n v="160000"/>
    <m/>
    <m/>
    <m/>
    <s v="N/A"/>
  </r>
  <r>
    <m/>
    <x v="7"/>
    <m/>
    <s v="MF-FP.24835"/>
    <m/>
    <s v="MF-ST.22319"/>
    <m/>
    <d v="2026-04-30T00:00:00"/>
    <m/>
    <s v="Umum"/>
    <m/>
    <s v="C.13138"/>
    <m/>
    <s v="TITIN"/>
    <m/>
    <s v="WAHYU PRATAMA"/>
    <m/>
    <s v="SERVICE HANDPHONE"/>
    <m/>
    <x v="1"/>
    <m/>
    <s v="MUSTOFA"/>
    <m/>
    <x v="1"/>
    <m/>
    <s v="WAHYU PRATAMA"/>
    <m/>
    <s v="FLEXIBEL ON/OFF"/>
    <m/>
    <s v="OPPO"/>
    <m/>
    <s v="A12"/>
    <m/>
    <s v="102475"/>
    <m/>
    <s v="FLVLM OPP A5s/A12/A11K"/>
    <m/>
    <n v="5600"/>
    <m/>
    <n v="1"/>
    <m/>
    <n v="12000"/>
    <m/>
    <n v="12000"/>
    <m/>
    <m/>
    <m/>
    <s v="N/A"/>
  </r>
  <r>
    <m/>
    <x v="7"/>
    <m/>
    <s v="MF-FP.24835"/>
    <m/>
    <s v="MF-ST.22319"/>
    <m/>
    <d v="2026-04-30T00:00:00"/>
    <m/>
    <s v="Umum"/>
    <m/>
    <s v="C.13138"/>
    <m/>
    <s v="TITIN"/>
    <m/>
    <s v="WAHYU PRATAMA"/>
    <m/>
    <s v="SERVICE HANDPHONE"/>
    <m/>
    <x v="2"/>
    <m/>
    <s v="MUSTOFA"/>
    <m/>
    <x v="1"/>
    <m/>
    <s v="WAHYU PRATAMA"/>
    <m/>
    <s v="FLEXIBEL ON/OFF"/>
    <m/>
    <s v="OPPO"/>
    <m/>
    <s v="A12"/>
    <m/>
    <s v="AKOR-014"/>
    <m/>
    <s v="ORAIMO CABLE TYPE-C 2A OCD-114C"/>
    <m/>
    <n v="15000"/>
    <m/>
    <n v="1"/>
    <m/>
    <n v="16000"/>
    <m/>
    <n v="16000"/>
    <m/>
    <m/>
    <m/>
    <s v="N/A"/>
  </r>
  <r>
    <m/>
    <x v="7"/>
    <m/>
    <s v="MF-FP.24835"/>
    <m/>
    <s v="MF-ST.22319"/>
    <m/>
    <d v="2026-04-30T00:00:00"/>
    <m/>
    <s v="Umum"/>
    <m/>
    <s v="C.13138"/>
    <m/>
    <s v="TITIN"/>
    <m/>
    <s v="WAHYU PRATAMA"/>
    <m/>
    <s v="SERVICE HANDPHONE"/>
    <m/>
    <x v="1"/>
    <m/>
    <s v="MUSTOFA"/>
    <m/>
    <x v="1"/>
    <m/>
    <s v="WAHYU PRATAMA"/>
    <m/>
    <s v="FLEXIBEL ON/OFF"/>
    <m/>
    <s v="OPPO"/>
    <m/>
    <s v="A12"/>
    <m/>
    <s v="101904"/>
    <m/>
    <s v="PERNIK TBL O/F + VLM  OPP A5s/OPP A12/OPP A7"/>
    <m/>
    <n v="6612.7272730000004"/>
    <m/>
    <n v="1"/>
    <m/>
    <n v="12000"/>
    <m/>
    <n v="12000"/>
    <m/>
    <m/>
    <m/>
    <s v="N/A"/>
  </r>
  <r>
    <m/>
    <x v="7"/>
    <m/>
    <s v="MF-FP.24850"/>
    <m/>
    <s v="MF-ST.22348"/>
    <m/>
    <d v="2026-05-01T00:00:00"/>
    <m/>
    <s v="Member Reguler"/>
    <m/>
    <s v="C.04819"/>
    <m/>
    <s v="DWI"/>
    <m/>
    <s v="WAHYU PRATAMA"/>
    <m/>
    <s v="PENJUALAN AKSESORIS"/>
    <m/>
    <x v="2"/>
    <m/>
    <s v="N/A"/>
    <m/>
    <x v="5"/>
    <m/>
    <s v="WAHYU PRATAMA"/>
    <m/>
    <s v="REPAIR"/>
    <m/>
    <s v="SAMSUNG"/>
    <m/>
    <s v="SAM"/>
    <m/>
    <s v="106664"/>
    <m/>
    <s v="ANKER ZOLO CHARGER 25W 1C GAN A2656L21 WHITE"/>
    <m/>
    <n v="120000"/>
    <m/>
    <n v="1"/>
    <m/>
    <n v="170000"/>
    <m/>
    <n v="170000"/>
    <m/>
    <m/>
    <m/>
    <s v="N/A"/>
  </r>
  <r>
    <m/>
    <x v="7"/>
    <m/>
    <s v="MF-FP.24850"/>
    <m/>
    <s v="MF-ST.22348"/>
    <m/>
    <d v="2026-05-01T00:00:00"/>
    <m/>
    <s v="Member Reguler"/>
    <m/>
    <s v="C.04819"/>
    <m/>
    <s v="DWI"/>
    <m/>
    <s v="WAHYU PRATAMA"/>
    <m/>
    <s v="PENJUALAN AKSESORIS"/>
    <m/>
    <x v="2"/>
    <m/>
    <s v="N/A"/>
    <m/>
    <x v="5"/>
    <m/>
    <s v="WAHYU PRATAMA"/>
    <m/>
    <s v="REPAIR"/>
    <m/>
    <s v="SAMSUNG"/>
    <m/>
    <s v="SAM"/>
    <m/>
    <s v="106271"/>
    <m/>
    <s v="ANKER 322 USB-C TO LIGHTNING CABLE (3FT BRAIDED) A81B5H21 WHITE"/>
    <m/>
    <n v="140000"/>
    <m/>
    <n v="1"/>
    <m/>
    <n v="180000"/>
    <m/>
    <n v="180000"/>
    <m/>
    <m/>
    <m/>
    <s v="N/A"/>
  </r>
  <r>
    <m/>
    <x v="7"/>
    <m/>
    <s v="MF-FP.24837"/>
    <m/>
    <s v="MF-ST.22339"/>
    <m/>
    <d v="2026-05-01T00:00:00"/>
    <m/>
    <s v="Member Reguler"/>
    <m/>
    <s v="C.09021"/>
    <m/>
    <s v="PAK YUDI"/>
    <m/>
    <s v="WAHYU PRATAMA"/>
    <m/>
    <s v="SERVICE HANDPHONE"/>
    <m/>
    <x v="0"/>
    <m/>
    <s v="YUVI NOFERIANTO"/>
    <m/>
    <x v="4"/>
    <m/>
    <s v="WAHYU PRATAMA"/>
    <m/>
    <s v="REPAIR"/>
    <m/>
    <s v="APPLE"/>
    <m/>
    <s v="Iphone 13pro max"/>
    <m/>
    <s v="JASA71"/>
    <m/>
    <s v="JASA REPAIR"/>
    <m/>
    <n v="0"/>
    <m/>
    <n v="1"/>
    <m/>
    <n v="185000"/>
    <m/>
    <n v="185000"/>
    <m/>
    <s v="Achmad Indrawanto"/>
    <m/>
    <s v="N/A"/>
  </r>
  <r>
    <m/>
    <x v="7"/>
    <m/>
    <s v="MF-FP.24837"/>
    <m/>
    <s v="MF-ST.22339"/>
    <m/>
    <d v="2026-05-01T00:00:00"/>
    <m/>
    <s v="Member Reguler"/>
    <m/>
    <s v="C.09021"/>
    <m/>
    <s v="PAK YUDI"/>
    <m/>
    <s v="WAHYU PRATAMA"/>
    <m/>
    <s v="SERVICE HANDPHONE"/>
    <m/>
    <x v="2"/>
    <m/>
    <s v="YUVI NOFERIANTO"/>
    <m/>
    <x v="4"/>
    <m/>
    <s v="WAHYU PRATAMA"/>
    <m/>
    <s v="REPAIR"/>
    <m/>
    <s v="APPLE"/>
    <m/>
    <s v="Iphone 13pro max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7"/>
    <m/>
    <s v="MF-FP.24836"/>
    <m/>
    <s v="MF-ST.22338"/>
    <m/>
    <d v="2026-05-01T00:00:00"/>
    <m/>
    <s v="Member Reguler"/>
    <m/>
    <s v="C.13146"/>
    <m/>
    <s v="FARAS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5759"/>
    <m/>
    <s v="VGEN FLASHDISK USB 2.0 AVATAR 32GB"/>
    <m/>
    <n v="66000"/>
    <m/>
    <n v="1"/>
    <m/>
    <n v="110000"/>
    <m/>
    <n v="110000"/>
    <m/>
    <s v="HANIF"/>
    <m/>
    <s v="N/A"/>
  </r>
  <r>
    <m/>
    <x v="7"/>
    <m/>
    <s v="MF-FP.24842"/>
    <m/>
    <s v="MF-ST.21835"/>
    <m/>
    <d v="2026-04-12T00:00:00"/>
    <m/>
    <s v="Umum"/>
    <m/>
    <s v="C.10916"/>
    <m/>
    <s v="RAIHAN"/>
    <m/>
    <s v="HANIF"/>
    <m/>
    <s v="SERVICE HANDPHONE"/>
    <m/>
    <x v="0"/>
    <m/>
    <s v="EKO RISDIYANTORO JATIMULYA"/>
    <m/>
    <x v="2"/>
    <m/>
    <s v="HANIF"/>
    <m/>
    <s v="MATI TOTAL"/>
    <m/>
    <s v="SAMSUNG"/>
    <m/>
    <s v="A51"/>
    <m/>
    <s v="JASA71"/>
    <m/>
    <s v="JASA REPAIR"/>
    <m/>
    <n v="0"/>
    <m/>
    <n v="1"/>
    <m/>
    <n v="400000"/>
    <m/>
    <n v="400000"/>
    <m/>
    <m/>
    <m/>
    <s v="N/A"/>
  </r>
  <r>
    <m/>
    <x v="7"/>
    <m/>
    <s v="MF-FP.24842"/>
    <m/>
    <s v="MF-ST.21835"/>
    <m/>
    <d v="2026-04-12T00:00:00"/>
    <m/>
    <s v="Umum"/>
    <m/>
    <s v="C.10916"/>
    <m/>
    <s v="RAIHAN"/>
    <m/>
    <s v="HANIF"/>
    <m/>
    <s v="SERVICE HANDPHONE"/>
    <m/>
    <x v="1"/>
    <m/>
    <s v="EKO RISDIYANTORO JATIMULYA"/>
    <m/>
    <x v="2"/>
    <m/>
    <s v="HANIF"/>
    <m/>
    <s v="MATI TOTAL"/>
    <m/>
    <s v="SAMSUNG"/>
    <m/>
    <s v="A51"/>
    <m/>
    <s v="105629"/>
    <m/>
    <s v="BATER SAM A51 BA-515ABY"/>
    <m/>
    <n v="93491.495322000002"/>
    <m/>
    <n v="1"/>
    <m/>
    <n v="150000"/>
    <m/>
    <n v="150000"/>
    <m/>
    <m/>
    <m/>
    <s v="N/A"/>
  </r>
  <r>
    <m/>
    <x v="7"/>
    <m/>
    <s v="MF-FP.24838"/>
    <m/>
    <s v="MF-ST.22227"/>
    <m/>
    <d v="2026-04-27T00:00:00"/>
    <m/>
    <s v="Umum"/>
    <m/>
    <s v="C.13104"/>
    <m/>
    <s v="ENI"/>
    <m/>
    <s v="WAHYU PRATAMA"/>
    <m/>
    <s v="SERVICE HANDPHONE"/>
    <m/>
    <x v="0"/>
    <m/>
    <s v="ARI MARWAN"/>
    <m/>
    <x v="0"/>
    <m/>
    <s v="HANIF"/>
    <m/>
    <s v="REPAIR"/>
    <m/>
    <s v="HUAWEI"/>
    <m/>
    <s v="Huawei P40 Pro"/>
    <m/>
    <s v="JASA71"/>
    <m/>
    <s v="JASA REPAIR"/>
    <m/>
    <n v="0"/>
    <m/>
    <n v="1"/>
    <m/>
    <n v="250000"/>
    <m/>
    <n v="250000"/>
    <m/>
    <m/>
    <m/>
    <s v="N/A"/>
  </r>
  <r>
    <m/>
    <x v="7"/>
    <m/>
    <s v="MF-FP.24838"/>
    <m/>
    <s v="MF-ST.22227"/>
    <m/>
    <d v="2026-04-27T00:00:00"/>
    <m/>
    <s v="Umum"/>
    <m/>
    <s v="C.13104"/>
    <m/>
    <s v="ENI"/>
    <m/>
    <s v="WAHYU PRATAMA"/>
    <m/>
    <s v="SERVICE HANDPHONE"/>
    <m/>
    <x v="2"/>
    <m/>
    <s v="ARI MARWAN"/>
    <m/>
    <x v="0"/>
    <m/>
    <s v="HANIF"/>
    <m/>
    <s v="REPAIR"/>
    <m/>
    <s v="HUAWEI"/>
    <m/>
    <s v="Huawei P40 Pro"/>
    <m/>
    <s v="AKOR-014"/>
    <m/>
    <s v="ORAIMO CABLE TYPE-C 2A OCD-114C"/>
    <m/>
    <n v="15000"/>
    <m/>
    <n v="1"/>
    <m/>
    <n v="20000"/>
    <m/>
    <n v="20000"/>
    <m/>
    <m/>
    <m/>
    <s v="N/A"/>
  </r>
  <r>
    <m/>
    <x v="7"/>
    <m/>
    <s v="MF-FP.24838"/>
    <m/>
    <s v="MF-ST.22227"/>
    <m/>
    <d v="2026-04-27T00:00:00"/>
    <m/>
    <s v="Umum"/>
    <m/>
    <s v="C.13104"/>
    <m/>
    <s v="ENI"/>
    <m/>
    <s v="WAHYU PRATAMA"/>
    <m/>
    <s v="SERVICE HANDPHONE"/>
    <m/>
    <x v="1"/>
    <m/>
    <s v="ARI MARWAN"/>
    <m/>
    <x v="0"/>
    <m/>
    <s v="HANIF"/>
    <m/>
    <s v="REPAIR"/>
    <m/>
    <s v="HUAWEI"/>
    <m/>
    <s v="Huawei P40 Pro"/>
    <m/>
    <s v="107234"/>
    <m/>
    <s v="BATER HUAWEI P40 PRO / MATE 40 / MATE 40E ORI"/>
    <m/>
    <n v="449400"/>
    <m/>
    <n v="1"/>
    <m/>
    <n v="530000"/>
    <m/>
    <n v="530000"/>
    <m/>
    <m/>
    <m/>
    <s v="N/A"/>
  </r>
  <r>
    <m/>
    <x v="7"/>
    <m/>
    <s v="MF-FP.24841"/>
    <m/>
    <s v="MF-ST.22320"/>
    <m/>
    <d v="2026-04-30T00:00:00"/>
    <m/>
    <s v="Member Reguler"/>
    <m/>
    <s v="MJ2983"/>
    <m/>
    <s v="IBU NIDA"/>
    <m/>
    <s v="WAHYU PRATAMA"/>
    <m/>
    <s v="SERVICE HANDPHONE"/>
    <m/>
    <x v="0"/>
    <m/>
    <s v="EKO RISDIYANTORO JATIMULYA"/>
    <m/>
    <x v="2"/>
    <m/>
    <s v="HANIF"/>
    <m/>
    <s v="REPAIR"/>
    <m/>
    <s v="SAMSUNG"/>
    <m/>
    <s v="A51"/>
    <m/>
    <s v="JASA71"/>
    <m/>
    <s v="JASA REPAIR"/>
    <m/>
    <n v="0"/>
    <m/>
    <n v="1"/>
    <m/>
    <n v="580000"/>
    <m/>
    <n v="580000"/>
    <m/>
    <s v="LEROY YAN PRATAMA"/>
    <m/>
    <s v="N/A"/>
  </r>
  <r>
    <m/>
    <x v="7"/>
    <m/>
    <s v="MF-FP.24839"/>
    <m/>
    <s v="MF-ST.22328"/>
    <m/>
    <d v="2026-05-01T00:00:00"/>
    <m/>
    <s v="Umum"/>
    <m/>
    <s v="C.13142"/>
    <m/>
    <s v="SARAH"/>
    <m/>
    <s v="WAHYU PRATAMA"/>
    <m/>
    <s v="SERVICE HANDPHONE"/>
    <m/>
    <x v="0"/>
    <m/>
    <s v="MUSTOFA"/>
    <m/>
    <x v="1"/>
    <m/>
    <s v="HANIF"/>
    <m/>
    <s v="LCD"/>
    <m/>
    <s v="VIVO"/>
    <m/>
    <s v="Y20S"/>
    <m/>
    <s v="JASA71"/>
    <m/>
    <s v="JASA REPAIR"/>
    <m/>
    <n v="0"/>
    <m/>
    <n v="1"/>
    <m/>
    <n v="160000"/>
    <m/>
    <n v="160000"/>
    <m/>
    <m/>
    <m/>
    <s v="N/A"/>
  </r>
  <r>
    <m/>
    <x v="7"/>
    <m/>
    <s v="MF-FP.24839"/>
    <m/>
    <s v="MF-ST.22328"/>
    <m/>
    <d v="2026-05-01T00:00:00"/>
    <m/>
    <s v="Umum"/>
    <m/>
    <s v="C.13142"/>
    <m/>
    <s v="SARAH"/>
    <m/>
    <s v="WAHYU PRATAMA"/>
    <m/>
    <s v="SERVICE HANDPHONE"/>
    <m/>
    <x v="1"/>
    <m/>
    <s v="MUSTOFA"/>
    <m/>
    <x v="1"/>
    <m/>
    <s v="HANIF"/>
    <m/>
    <s v="LCD"/>
    <m/>
    <s v="VIVO"/>
    <m/>
    <s v="Y20S"/>
    <m/>
    <s v="105057"/>
    <m/>
    <s v="LCD.. RLM C65/OPP A60 / OPP A80 / OPP A3 5G / OPP A3 PRO B"/>
    <m/>
    <n v="98938.398757000003"/>
    <m/>
    <n v="1"/>
    <m/>
    <n v="220000"/>
    <m/>
    <n v="220000"/>
    <m/>
    <m/>
    <m/>
    <s v="N/A"/>
  </r>
  <r>
    <m/>
    <x v="7"/>
    <m/>
    <s v="MF-FP.24839"/>
    <m/>
    <s v="MF-ST.22328"/>
    <m/>
    <d v="2026-05-01T00:00:00"/>
    <m/>
    <s v="Umum"/>
    <m/>
    <s v="C.13142"/>
    <m/>
    <s v="SARAH"/>
    <m/>
    <s v="WAHYU PRATAMA"/>
    <m/>
    <s v="SERVICE HANDPHONE"/>
    <m/>
    <x v="2"/>
    <m/>
    <s v="MUSTOFA"/>
    <m/>
    <x v="1"/>
    <m/>
    <s v="HANIF"/>
    <m/>
    <s v="LCD"/>
    <m/>
    <s v="VIVO"/>
    <m/>
    <s v="Y20S"/>
    <m/>
    <s v="AKOR-014"/>
    <m/>
    <s v="ORAIMO CABLE TYPE-C 2A OCD-114C"/>
    <m/>
    <n v="15000"/>
    <m/>
    <n v="1"/>
    <m/>
    <n v="20000"/>
    <m/>
    <n v="20000"/>
    <m/>
    <m/>
    <m/>
    <s v="N/A"/>
  </r>
  <r>
    <m/>
    <x v="7"/>
    <m/>
    <s v="MF-FP.24841"/>
    <m/>
    <s v="MF-ST.22320"/>
    <m/>
    <d v="2026-04-30T00:00:00"/>
    <m/>
    <s v="Member Reguler"/>
    <m/>
    <s v="MJ2983"/>
    <m/>
    <s v="IBU NIDA"/>
    <m/>
    <s v="WAHYU PRATAMA"/>
    <m/>
    <s v="SERVICE HANDPHONE"/>
    <m/>
    <x v="1"/>
    <m/>
    <s v="EKO RISDIYANTORO JATIMULYA"/>
    <m/>
    <x v="2"/>
    <m/>
    <s v="HANIF"/>
    <m/>
    <s v="REPAIR"/>
    <m/>
    <s v="SAMSUNG"/>
    <m/>
    <s v="A51"/>
    <m/>
    <s v="105911"/>
    <m/>
    <s v="KNLCD SAM A52/A52S/M52 78 PIN"/>
    <m/>
    <n v="5098.4699620000001"/>
    <m/>
    <n v="1"/>
    <m/>
    <n v="20000"/>
    <m/>
    <n v="20000"/>
    <m/>
    <s v="LEROY YAN PRATAMA"/>
    <m/>
    <s v="N/A"/>
  </r>
  <r>
    <m/>
    <x v="7"/>
    <m/>
    <s v="MF-FP.24841"/>
    <m/>
    <s v="MF-ST.22320"/>
    <m/>
    <d v="2026-04-30T00:00:00"/>
    <m/>
    <s v="Member Reguler"/>
    <m/>
    <s v="MJ2983"/>
    <m/>
    <s v="IBU NIDA"/>
    <m/>
    <s v="WAHYU PRATAMA"/>
    <m/>
    <s v="SERVICE HANDPHONE"/>
    <m/>
    <x v="1"/>
    <m/>
    <s v="EKO RISDIYANTORO JATIMULYA"/>
    <m/>
    <x v="2"/>
    <m/>
    <s v="HANIF"/>
    <m/>
    <s v="REPAIR"/>
    <m/>
    <s v="SAMSUNG"/>
    <m/>
    <s v="A51"/>
    <m/>
    <s v="105629"/>
    <m/>
    <s v="BATER SAM A51 BA-515ABY"/>
    <m/>
    <n v="132949.125596"/>
    <m/>
    <n v="1"/>
    <m/>
    <n v="165000"/>
    <m/>
    <n v="165000"/>
    <m/>
    <s v="LEROY YAN PRATAMA"/>
    <m/>
    <s v="N/A"/>
  </r>
  <r>
    <m/>
    <x v="7"/>
    <m/>
    <s v="MF-FP.24840"/>
    <m/>
    <s v="MF-ST.22317"/>
    <m/>
    <d v="2026-04-30T00:00:00"/>
    <m/>
    <s v="Member Reguler"/>
    <m/>
    <s v="C.12268"/>
    <m/>
    <s v="SEPTIAN"/>
    <m/>
    <s v="WAHYU PRATAMA"/>
    <m/>
    <s v="SERVICE HANDPHONE"/>
    <m/>
    <x v="0"/>
    <m/>
    <s v="EKO RISDIYANTORO JATIMULYA"/>
    <m/>
    <x v="2"/>
    <m/>
    <s v="HANIF"/>
    <m/>
    <s v="MATI TOTAL"/>
    <m/>
    <s v="SAMSUNG"/>
    <m/>
    <s v="A31"/>
    <m/>
    <s v="JASA71"/>
    <m/>
    <s v="JASA REPAIR"/>
    <m/>
    <n v="0"/>
    <m/>
    <n v="1"/>
    <m/>
    <n v="480000"/>
    <m/>
    <n v="480000"/>
    <m/>
    <s v="ARI MARWAN"/>
    <m/>
    <s v="N/A"/>
  </r>
  <r>
    <m/>
    <x v="7"/>
    <m/>
    <s v="MF-FP.24840"/>
    <m/>
    <s v="MF-ST.22317"/>
    <m/>
    <d v="2026-04-30T00:00:00"/>
    <m/>
    <s v="Member Reguler"/>
    <m/>
    <s v="C.12268"/>
    <m/>
    <s v="SEPTIAN"/>
    <m/>
    <s v="WAHYU PRATAMA"/>
    <m/>
    <s v="SERVICE HANDPHONE"/>
    <m/>
    <x v="2"/>
    <m/>
    <s v="EKO RISDIYANTORO JATIMULYA"/>
    <m/>
    <x v="2"/>
    <m/>
    <s v="HANIF"/>
    <m/>
    <s v="MATI TOTAL"/>
    <m/>
    <s v="SAMSUNG"/>
    <m/>
    <s v="A31"/>
    <m/>
    <s v="AKOR-014"/>
    <m/>
    <s v="ORAIMO CABLE TYPE-C 2A OCD-114C"/>
    <m/>
    <n v="15000"/>
    <m/>
    <n v="1"/>
    <m/>
    <n v="20000"/>
    <m/>
    <n v="20000"/>
    <m/>
    <s v="ARI MARWAN"/>
    <m/>
    <s v="N/A"/>
  </r>
  <r>
    <m/>
    <x v="7"/>
    <m/>
    <s v="MF-FP.24841"/>
    <m/>
    <s v="MF-ST.22320"/>
    <m/>
    <d v="2026-04-30T00:00:00"/>
    <m/>
    <s v="Member Reguler"/>
    <m/>
    <s v="MJ2983"/>
    <m/>
    <s v="IBU NIDA"/>
    <m/>
    <s v="WAHYU PRATAMA"/>
    <m/>
    <s v="SERVICE HANDPHONE"/>
    <m/>
    <x v="1"/>
    <m/>
    <s v="EKO RISDIYANTORO JATIMULYA"/>
    <m/>
    <x v="2"/>
    <m/>
    <s v="HANIF"/>
    <m/>
    <s v="REPAIR"/>
    <m/>
    <s v="SAMSUNG"/>
    <m/>
    <s v="A51"/>
    <m/>
    <s v="103625"/>
    <m/>
    <s v="FLEX. FINGER HOME BUTTON IPH SE/7 PLUS/8 PLUS/7G/8G B"/>
    <m/>
    <n v="8000"/>
    <m/>
    <n v="1"/>
    <m/>
    <n v="15000"/>
    <m/>
    <n v="15000"/>
    <m/>
    <s v="LEROY YAN PRATAMA"/>
    <m/>
    <s v="N/A"/>
  </r>
  <r>
    <m/>
    <x v="7"/>
    <m/>
    <s v="MF-FP.24841"/>
    <m/>
    <s v="MF-ST.22320"/>
    <m/>
    <d v="2026-04-30T00:00:00"/>
    <m/>
    <s v="Member Reguler"/>
    <m/>
    <s v="MJ2983"/>
    <m/>
    <s v="IBU NIDA"/>
    <m/>
    <s v="WAHYU PRATAMA"/>
    <m/>
    <s v="SERVICE HANDPHONE"/>
    <m/>
    <x v="2"/>
    <m/>
    <s v="EKO RISDIYANTORO JATIMULYA"/>
    <m/>
    <x v="2"/>
    <m/>
    <s v="HANIF"/>
    <m/>
    <s v="REPAIR"/>
    <m/>
    <s v="SAMSUNG"/>
    <m/>
    <s v="A51"/>
    <m/>
    <s v="AKOR-014"/>
    <m/>
    <s v="ORAIMO CABLE TYPE-C 2A OCD-114C"/>
    <m/>
    <n v="15000"/>
    <m/>
    <n v="1"/>
    <m/>
    <n v="20000"/>
    <m/>
    <n v="20000"/>
    <m/>
    <s v="LEROY YAN PRATAMA"/>
    <m/>
    <s v="N/A"/>
  </r>
  <r>
    <m/>
    <x v="7"/>
    <m/>
    <s v="MF-FP.24842"/>
    <m/>
    <s v="MF-ST.21835"/>
    <m/>
    <d v="2026-04-12T00:00:00"/>
    <m/>
    <s v="Umum"/>
    <m/>
    <s v="C.10916"/>
    <m/>
    <s v="RAIHAN"/>
    <m/>
    <s v="HANIF"/>
    <m/>
    <s v="SERVICE HANDPHONE"/>
    <m/>
    <x v="2"/>
    <m/>
    <s v="EKO RISDIYANTORO JATIMULYA"/>
    <m/>
    <x v="2"/>
    <m/>
    <s v="HANIF"/>
    <m/>
    <s v="MATI TOTAL"/>
    <m/>
    <s v="SAMSUNG"/>
    <m/>
    <s v="A51"/>
    <m/>
    <s v="AKOR-014"/>
    <m/>
    <s v="ORAIMO CABLE TYPE-C 2A OCD-114C"/>
    <m/>
    <n v="15000"/>
    <m/>
    <n v="1"/>
    <m/>
    <n v="20000"/>
    <m/>
    <n v="20000"/>
    <m/>
    <m/>
    <m/>
    <s v="N/A"/>
  </r>
  <r>
    <m/>
    <x v="7"/>
    <m/>
    <s v="MF-FP.24842"/>
    <m/>
    <s v="MF-ST.21835"/>
    <m/>
    <d v="2026-04-12T00:00:00"/>
    <m/>
    <s v="Umum"/>
    <m/>
    <s v="C.10916"/>
    <m/>
    <s v="RAIHAN"/>
    <m/>
    <s v="HANIF"/>
    <m/>
    <s v="SERVICE HANDPHONE"/>
    <m/>
    <x v="1"/>
    <m/>
    <s v="EKO RISDIYANTORO JATIMULYA"/>
    <m/>
    <x v="2"/>
    <m/>
    <s v="HANIF"/>
    <m/>
    <s v="MATI TOTAL"/>
    <m/>
    <s v="SAMSUNG"/>
    <m/>
    <s v="A51"/>
    <m/>
    <s v="107228"/>
    <m/>
    <s v="MESIN SAM A51"/>
    <m/>
    <n v="654000"/>
    <m/>
    <n v="1"/>
    <m/>
    <n v="730000"/>
    <m/>
    <n v="730000"/>
    <m/>
    <m/>
    <m/>
    <s v="N/A"/>
  </r>
  <r>
    <m/>
    <x v="7"/>
    <m/>
    <s v="MF-FP.24843"/>
    <m/>
    <s v="MF-ST.22342"/>
    <m/>
    <d v="2026-05-01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6942"/>
    <m/>
    <s v="ROBOT MOUSE KABEL M102"/>
    <m/>
    <n v="20000"/>
    <m/>
    <n v="1"/>
    <m/>
    <n v="40000"/>
    <m/>
    <n v="40000"/>
    <m/>
    <m/>
    <m/>
    <s v="N/A"/>
  </r>
  <r>
    <m/>
    <x v="7"/>
    <m/>
    <s v="MF-FP.24844"/>
    <m/>
    <s v="MF-ST.22343"/>
    <m/>
    <d v="2026-05-01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5036"/>
    <m/>
    <s v="ROBOT SMART POWERBANK RT22S"/>
    <m/>
    <n v="200000"/>
    <m/>
    <n v="1"/>
    <m/>
    <n v="270000"/>
    <m/>
    <n v="270000"/>
    <m/>
    <m/>
    <m/>
    <s v="N/A"/>
  </r>
  <r>
    <m/>
    <x v="7"/>
    <m/>
    <s v="MF-FP.24845"/>
    <m/>
    <s v="MF-ST.22344"/>
    <m/>
    <d v="2026-05-01T00:00:00"/>
    <m/>
    <s v="Umum"/>
    <m/>
    <s v="C.00000"/>
    <m/>
    <s v="Pelanggan Umum"/>
    <m/>
    <s v="HANIF"/>
    <m/>
    <s v="SERVICE HANDPHONE"/>
    <m/>
    <x v="0"/>
    <m/>
    <s v="EKO RISDIYANTORO JATIMULYA"/>
    <m/>
    <x v="2"/>
    <m/>
    <s v="HANIF"/>
    <m/>
    <s v="REPAIR"/>
    <m/>
    <s v="OPPO"/>
    <m/>
    <s v="RENO 4"/>
    <m/>
    <s v="JASA71"/>
    <m/>
    <s v="JASA REPAIR"/>
    <m/>
    <n v="0"/>
    <m/>
    <n v="1"/>
    <m/>
    <n v="50000"/>
    <m/>
    <n v="50000"/>
    <m/>
    <m/>
    <m/>
    <s v="N/A"/>
  </r>
  <r>
    <m/>
    <x v="7"/>
    <m/>
    <s v="MF-FP.24846"/>
    <m/>
    <s v="MF-ST.22345"/>
    <m/>
    <d v="2026-05-01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7163"/>
    <m/>
    <s v="ANKER TWS SOUNDCORE R50i NC A3959H21 WHITE"/>
    <m/>
    <n v="235000"/>
    <m/>
    <n v="1"/>
    <m/>
    <n v="240000"/>
    <m/>
    <n v="240000"/>
    <m/>
    <m/>
    <m/>
    <s v="N/A"/>
  </r>
  <r>
    <m/>
    <x v="8"/>
    <m/>
    <s v="MF-FP.24847"/>
    <m/>
    <s v="MF-ST.22346"/>
    <m/>
    <d v="2026-05-02T00:00:00"/>
    <m/>
    <s v="Member Reguler"/>
    <m/>
    <s v="C.06967"/>
    <m/>
    <s v="NOVAL"/>
    <m/>
    <s v="WAHYU PRATAMA"/>
    <m/>
    <s v="PENJUALAN AKSESORIS"/>
    <m/>
    <x v="2"/>
    <m/>
    <s v="N/A"/>
    <m/>
    <x v="5"/>
    <m/>
    <s v="WAHYU PRATAMA"/>
    <m/>
    <s v="REPAIR"/>
    <m/>
    <s v="SAMSUNG"/>
    <m/>
    <s v="SAM"/>
    <m/>
    <s v="107161"/>
    <m/>
    <s v="ANKER ZOLO CHARGER 30W PD 3.0 C TO C CABLE 3FT B2698L21 WHITE"/>
    <m/>
    <n v="149000"/>
    <m/>
    <n v="1"/>
    <m/>
    <n v="200000"/>
    <m/>
    <n v="200000"/>
    <m/>
    <s v="Achmad Indrawanto"/>
    <m/>
    <s v="N/A"/>
  </r>
  <r>
    <m/>
    <x v="8"/>
    <m/>
    <s v="MF-FP.24871"/>
    <m/>
    <s v="MF-ST.20520"/>
    <m/>
    <d v="2026-02-28T00:00:00"/>
    <m/>
    <s v="Umum"/>
    <m/>
    <s v="C.12345"/>
    <m/>
    <s v="ANDRE"/>
    <m/>
    <s v="WAHYU PRATAMA"/>
    <m/>
    <s v="SERVICE LAPTOP"/>
    <m/>
    <x v="0"/>
    <m/>
    <s v="ABDUL MUNAJAT"/>
    <m/>
    <x v="3"/>
    <m/>
    <s v="Achmad Indrawanto"/>
    <m/>
    <s v="MATI TOTAL"/>
    <m/>
    <s v="ASUS"/>
    <m/>
    <s v="TUF FA506N"/>
    <m/>
    <s v="JASA71"/>
    <m/>
    <s v="JASA REPAIR"/>
    <m/>
    <n v="0"/>
    <m/>
    <n v="1"/>
    <m/>
    <n v="3200000"/>
    <m/>
    <n v="3200000"/>
    <m/>
    <m/>
    <m/>
    <s v="N/A"/>
  </r>
  <r>
    <m/>
    <x v="8"/>
    <m/>
    <s v="MF-FP.24873"/>
    <m/>
    <s v="MF-ST.22377"/>
    <m/>
    <d v="2026-05-02T00:00:00"/>
    <m/>
    <s v="Member Reguler"/>
    <m/>
    <s v="C.13161"/>
    <m/>
    <s v="HOLAN"/>
    <m/>
    <s v="Achmad Indrawanto"/>
    <m/>
    <s v="SERVICE HANDPHONE"/>
    <m/>
    <x v="0"/>
    <m/>
    <s v="ARI MARWAN"/>
    <m/>
    <x v="0"/>
    <m/>
    <s v="Achmad Indrawanto"/>
    <m/>
    <s v="LCD"/>
    <m/>
    <s v="OPPO"/>
    <m/>
    <s v="OPPO RENO 6 4G"/>
    <m/>
    <s v="JASA71"/>
    <m/>
    <s v="JASA REPAIR"/>
    <m/>
    <n v="0"/>
    <m/>
    <n v="1"/>
    <m/>
    <n v="190000"/>
    <m/>
    <n v="190000"/>
    <m/>
    <s v="Achmad Indrawanto"/>
    <m/>
    <s v="N/A"/>
  </r>
  <r>
    <m/>
    <x v="8"/>
    <m/>
    <s v="MF-FP.24873"/>
    <m/>
    <s v="MF-ST.22377"/>
    <m/>
    <d v="2026-05-02T00:00:00"/>
    <m/>
    <s v="Member Reguler"/>
    <m/>
    <s v="C.13161"/>
    <m/>
    <s v="HOLAN"/>
    <m/>
    <s v="Achmad Indrawanto"/>
    <m/>
    <s v="SERVICE HANDPHONE"/>
    <m/>
    <x v="2"/>
    <m/>
    <s v="ARI MARWAN"/>
    <m/>
    <x v="0"/>
    <m/>
    <s v="Achmad Indrawanto"/>
    <m/>
    <s v="LCD"/>
    <m/>
    <s v="OPPO"/>
    <m/>
    <s v="OPPO RENO 6 4G"/>
    <m/>
    <s v="100025"/>
    <m/>
    <s v="VIVAN HYDROGEL BASIC CRYSTAL CLEAR VSP01T"/>
    <m/>
    <n v="11151.582562"/>
    <m/>
    <n v="1"/>
    <m/>
    <n v="75000"/>
    <m/>
    <n v="75000"/>
    <m/>
    <s v="Achmad Indrawanto"/>
    <m/>
    <s v="N/A"/>
  </r>
  <r>
    <m/>
    <x v="8"/>
    <m/>
    <s v="MF-FP.24872"/>
    <m/>
    <s v="MF-ST.22375"/>
    <m/>
    <d v="2026-05-02T00:00:00"/>
    <m/>
    <s v="Member Reguler"/>
    <m/>
    <s v="C.13159"/>
    <m/>
    <s v="SALWA"/>
    <m/>
    <s v="Achmad Indrawanto"/>
    <m/>
    <s v="SERVICE HANDPHONE"/>
    <m/>
    <x v="0"/>
    <m/>
    <s v="ARI MARWAN"/>
    <m/>
    <x v="0"/>
    <m/>
    <s v="Achmad Indrawanto"/>
    <m/>
    <s v="REPAIR"/>
    <m/>
    <s v="OPPO"/>
    <m/>
    <s v="A5 2020"/>
    <m/>
    <s v="JASA71"/>
    <m/>
    <s v="JASA REPAIR"/>
    <m/>
    <n v="0"/>
    <m/>
    <n v="1"/>
    <m/>
    <n v="75000"/>
    <m/>
    <n v="75000"/>
    <m/>
    <s v="Achmad Indrawanto"/>
    <m/>
    <s v="N/A"/>
  </r>
  <r>
    <m/>
    <x v="8"/>
    <m/>
    <s v="MF-FP.24872"/>
    <m/>
    <s v="MF-ST.22375"/>
    <m/>
    <d v="2026-05-02T00:00:00"/>
    <m/>
    <s v="Member Reguler"/>
    <m/>
    <s v="C.13159"/>
    <m/>
    <s v="SALWA"/>
    <m/>
    <s v="Achmad Indrawanto"/>
    <m/>
    <s v="SERVICE HANDPHONE"/>
    <m/>
    <x v="2"/>
    <m/>
    <s v="ARI MARWAN"/>
    <m/>
    <x v="0"/>
    <m/>
    <s v="Achmad Indrawanto"/>
    <m/>
    <s v="REPAIR"/>
    <m/>
    <s v="OPPO"/>
    <m/>
    <s v="A5 2020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8"/>
    <m/>
    <s v="MF-FP.24873"/>
    <m/>
    <s v="MF-ST.22377"/>
    <m/>
    <d v="2026-05-02T00:00:00"/>
    <m/>
    <s v="Member Reguler"/>
    <m/>
    <s v="C.13161"/>
    <m/>
    <s v="HOLAN"/>
    <m/>
    <s v="Achmad Indrawanto"/>
    <m/>
    <s v="SERVICE HANDPHONE"/>
    <m/>
    <x v="1"/>
    <m/>
    <s v="ARI MARWAN"/>
    <m/>
    <x v="0"/>
    <m/>
    <s v="Achmad Indrawanto"/>
    <m/>
    <s v="LCD"/>
    <m/>
    <s v="OPPO"/>
    <m/>
    <s v="OPPO RENO 6 4G"/>
    <m/>
    <s v="100382"/>
    <m/>
    <s v="LCD.. OPP RENO 5 4G/RENO 6/RENO 7 5G/RLM GT 5G B"/>
    <m/>
    <n v="158959.96618700001"/>
    <m/>
    <n v="1"/>
    <m/>
    <n v="210000"/>
    <m/>
    <n v="210000"/>
    <m/>
    <s v="Achmad Indrawanto"/>
    <m/>
    <s v="N/A"/>
  </r>
  <r>
    <m/>
    <x v="8"/>
    <m/>
    <s v="MF-FP.24848"/>
    <m/>
    <s v="MF-ST.22347"/>
    <m/>
    <d v="2026-05-02T00:00:00"/>
    <m/>
    <s v="Umum"/>
    <m/>
    <s v="C.01813"/>
    <m/>
    <s v="FAHRUDIN"/>
    <m/>
    <s v="WAHYU PRATAMA"/>
    <m/>
    <s v="SERVICE HANDPHONE"/>
    <m/>
    <x v="0"/>
    <m/>
    <s v="EKO RISDIYANTORO JATIMULYA"/>
    <m/>
    <x v="2"/>
    <m/>
    <s v="WAHYU PRATAMA"/>
    <m/>
    <s v="FLEXIBEL CHARGER (PAPAN KONEKTOR)"/>
    <m/>
    <s v="SAMSUNG"/>
    <m/>
    <s v="A52"/>
    <m/>
    <s v="JASA71"/>
    <m/>
    <s v="JASA REPAIR"/>
    <m/>
    <n v="0"/>
    <m/>
    <n v="1"/>
    <m/>
    <n v="150000"/>
    <m/>
    <n v="150000"/>
    <m/>
    <m/>
    <m/>
    <s v="N/A"/>
  </r>
  <r>
    <m/>
    <x v="8"/>
    <m/>
    <s v="MF-FP.24849"/>
    <m/>
    <s v="MF-ST.22299"/>
    <m/>
    <d v="2026-04-30T00:00:00"/>
    <m/>
    <s v="Member Reguler"/>
    <m/>
    <s v="C.13130"/>
    <m/>
    <s v="DIKA"/>
    <m/>
    <s v="Achmad Indrawanto"/>
    <m/>
    <s v="SERVICE HANDPHONE"/>
    <m/>
    <x v="0"/>
    <m/>
    <s v="YUVI NOFERIANTO"/>
    <m/>
    <x v="4"/>
    <m/>
    <s v="WAHYU PRATAMA"/>
    <m/>
    <s v="REPAIR"/>
    <m/>
    <s v="SAMSUNG"/>
    <m/>
    <s v="Samsung a6 plus"/>
    <m/>
    <s v="JASA71"/>
    <m/>
    <s v="JASA REPAIR"/>
    <m/>
    <n v="0"/>
    <m/>
    <n v="1"/>
    <m/>
    <n v="285000"/>
    <m/>
    <n v="285000"/>
    <m/>
    <s v="Achmad Indrawanto"/>
    <m/>
    <s v="N/A"/>
  </r>
  <r>
    <m/>
    <x v="8"/>
    <m/>
    <s v="MF-FP.24849"/>
    <m/>
    <s v="MF-ST.22299"/>
    <m/>
    <d v="2026-04-30T00:00:00"/>
    <m/>
    <s v="Member Reguler"/>
    <m/>
    <s v="C.13130"/>
    <m/>
    <s v="DIKA"/>
    <m/>
    <s v="Achmad Indrawanto"/>
    <m/>
    <s v="SERVICE HANDPHONE"/>
    <m/>
    <x v="2"/>
    <m/>
    <s v="YUVI NOFERIANTO"/>
    <m/>
    <x v="4"/>
    <m/>
    <s v="WAHYU PRATAMA"/>
    <m/>
    <s v="REPAIR"/>
    <m/>
    <s v="SAMSUNG"/>
    <m/>
    <s v="Samsung a6 plus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8"/>
    <m/>
    <s v="MF-FP.24848"/>
    <m/>
    <s v="MF-ST.22347"/>
    <m/>
    <d v="2026-05-02T00:00:00"/>
    <m/>
    <s v="Umum"/>
    <m/>
    <s v="C.01813"/>
    <m/>
    <s v="FAHRUDIN"/>
    <m/>
    <s v="WAHYU PRATAMA"/>
    <m/>
    <s v="SERVICE HANDPHONE"/>
    <m/>
    <x v="1"/>
    <m/>
    <s v="EKO RISDIYANTORO JATIMULYA"/>
    <m/>
    <x v="2"/>
    <m/>
    <s v="WAHYU PRATAMA"/>
    <m/>
    <s v="FLEXIBEL CHARGER (PAPAN KONEKTOR)"/>
    <m/>
    <s v="SAMSUNG"/>
    <m/>
    <s v="A52"/>
    <m/>
    <s v="102422"/>
    <m/>
    <s v="FLCRG SAM A52 4G ORI"/>
    <m/>
    <n v="163593.875"/>
    <m/>
    <n v="1"/>
    <m/>
    <n v="185000"/>
    <m/>
    <n v="185000"/>
    <m/>
    <m/>
    <m/>
    <s v="N/A"/>
  </r>
  <r>
    <m/>
    <x v="8"/>
    <m/>
    <s v="MF-FP.24848"/>
    <m/>
    <s v="MF-ST.22347"/>
    <m/>
    <d v="2026-05-02T00:00:00"/>
    <m/>
    <s v="Umum"/>
    <m/>
    <s v="C.01813"/>
    <m/>
    <s v="FAHRUDIN"/>
    <m/>
    <s v="WAHYU PRATAMA"/>
    <m/>
    <s v="SERVICE HANDPHONE"/>
    <m/>
    <x v="2"/>
    <m/>
    <s v="EKO RISDIYANTORO JATIMULYA"/>
    <m/>
    <x v="2"/>
    <m/>
    <s v="WAHYU PRATAMA"/>
    <m/>
    <s v="FLEXIBEL CHARGER (PAPAN KONEKTOR)"/>
    <m/>
    <s v="SAMSUNG"/>
    <m/>
    <s v="A52"/>
    <m/>
    <s v="AKOR-014"/>
    <m/>
    <s v="ORAIMO CABLE TYPE-C 2A OCD-114C"/>
    <m/>
    <n v="15000"/>
    <m/>
    <n v="1"/>
    <m/>
    <n v="15000"/>
    <m/>
    <n v="15000"/>
    <m/>
    <m/>
    <m/>
    <s v="N/A"/>
  </r>
  <r>
    <m/>
    <x v="8"/>
    <m/>
    <s v="MF-FP.24851"/>
    <m/>
    <s v="MF-ST.22350"/>
    <m/>
    <d v="2026-05-02T00:00:00"/>
    <m/>
    <s v="Umum"/>
    <m/>
    <s v="C.13143"/>
    <m/>
    <s v="RUDI"/>
    <m/>
    <s v="WAHYU PRATAMA"/>
    <m/>
    <s v="SERVICE HANDPHONE"/>
    <m/>
    <x v="0"/>
    <m/>
    <s v="EKO RISDIYANTORO JATIMULYA"/>
    <m/>
    <x v="2"/>
    <m/>
    <s v="WAHYU PRATAMA"/>
    <m/>
    <s v="BATERAI"/>
    <m/>
    <s v="SAMSUNG"/>
    <m/>
    <s v="A54"/>
    <m/>
    <s v="JASA71"/>
    <m/>
    <s v="JASA REPAIR"/>
    <m/>
    <n v="0"/>
    <m/>
    <n v="1"/>
    <m/>
    <n v="185000"/>
    <m/>
    <n v="185000"/>
    <m/>
    <m/>
    <m/>
    <s v="N/A"/>
  </r>
  <r>
    <m/>
    <x v="8"/>
    <m/>
    <s v="MF-FP.24851"/>
    <m/>
    <s v="MF-ST.22350"/>
    <m/>
    <d v="2026-05-02T00:00:00"/>
    <m/>
    <s v="Umum"/>
    <m/>
    <s v="C.13143"/>
    <m/>
    <s v="RUDI"/>
    <m/>
    <s v="WAHYU PRATAMA"/>
    <m/>
    <s v="SERVICE HANDPHONE"/>
    <m/>
    <x v="1"/>
    <m/>
    <s v="EKO RISDIYANTORO JATIMULYA"/>
    <m/>
    <x v="2"/>
    <m/>
    <s v="WAHYU PRATAMA"/>
    <m/>
    <s v="BATERAI"/>
    <m/>
    <s v="SAMSUNG"/>
    <m/>
    <s v="A54"/>
    <m/>
    <s v="105701"/>
    <m/>
    <s v="BATER SAM A34/A54"/>
    <m/>
    <n v="120000"/>
    <m/>
    <n v="1"/>
    <m/>
    <n v="150000"/>
    <m/>
    <n v="150000"/>
    <m/>
    <m/>
    <m/>
    <s v="N/A"/>
  </r>
  <r>
    <m/>
    <x v="8"/>
    <m/>
    <s v="MF-FP.24851"/>
    <m/>
    <s v="MF-ST.22350"/>
    <m/>
    <d v="2026-05-02T00:00:00"/>
    <m/>
    <s v="Umum"/>
    <m/>
    <s v="C.13143"/>
    <m/>
    <s v="RUDI"/>
    <m/>
    <s v="WAHYU PRATAMA"/>
    <m/>
    <s v="SERVICE HANDPHONE"/>
    <m/>
    <x v="2"/>
    <m/>
    <s v="EKO RISDIYANTORO JATIMULYA"/>
    <m/>
    <x v="2"/>
    <m/>
    <s v="WAHYU PRATAMA"/>
    <m/>
    <s v="BATERAI"/>
    <m/>
    <s v="SAMSUNG"/>
    <m/>
    <s v="A54"/>
    <m/>
    <s v="AKOR-014"/>
    <m/>
    <s v="ORAIMO CABLE TYPE-C 2A OCD-114C"/>
    <m/>
    <n v="15000"/>
    <m/>
    <n v="1"/>
    <m/>
    <n v="15000"/>
    <m/>
    <n v="15000"/>
    <m/>
    <m/>
    <m/>
    <s v="N/A"/>
  </r>
  <r>
    <m/>
    <x v="8"/>
    <m/>
    <s v="MF-FP.24874"/>
    <m/>
    <s v="MF-ST.22376"/>
    <m/>
    <d v="2026-05-02T00:00:00"/>
    <m/>
    <s v="Member Reguler"/>
    <m/>
    <s v="C.13160"/>
    <m/>
    <s v="ERLAN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6270"/>
    <m/>
    <s v="ANKER 322 USB-C TO USB-C CABLE (6FT BRAIDED) A81F6H11 BLACK"/>
    <m/>
    <n v="114000"/>
    <m/>
    <n v="2"/>
    <m/>
    <n v="110000"/>
    <m/>
    <n v="220000"/>
    <m/>
    <s v="Achmad Indrawanto"/>
    <m/>
    <s v="N/A"/>
  </r>
  <r>
    <m/>
    <x v="8"/>
    <m/>
    <s v="MF-FP.24861"/>
    <m/>
    <s v="MF-ST.22330"/>
    <m/>
    <d v="2026-05-01T00:00:00"/>
    <m/>
    <s v="Umum"/>
    <m/>
    <s v="C.13144"/>
    <m/>
    <s v="AZIZAH"/>
    <m/>
    <s v="WAHYU PRATAMA"/>
    <m/>
    <s v="SERVICE LAPTOP"/>
    <m/>
    <x v="0"/>
    <m/>
    <s v="ABDUL MUNAJAT"/>
    <m/>
    <x v="3"/>
    <m/>
    <s v="WAHYU PRATAMA"/>
    <m/>
    <s v="REPAIR"/>
    <m/>
    <s v="HP"/>
    <m/>
    <s v="14F"/>
    <m/>
    <s v="JASA71"/>
    <m/>
    <s v="JASA REPAIR"/>
    <m/>
    <n v="0"/>
    <m/>
    <n v="1"/>
    <m/>
    <n v="435000"/>
    <m/>
    <n v="435000"/>
    <m/>
    <m/>
    <m/>
    <s v="N/A"/>
  </r>
  <r>
    <m/>
    <x v="8"/>
    <m/>
    <s v="MF-FP.24861"/>
    <m/>
    <s v="MF-ST.22330"/>
    <m/>
    <d v="2026-05-01T00:00:00"/>
    <m/>
    <s v="Umum"/>
    <m/>
    <s v="C.13144"/>
    <m/>
    <s v="AZIZAH"/>
    <m/>
    <s v="WAHYU PRATAMA"/>
    <m/>
    <s v="SERVICE LAPTOP"/>
    <m/>
    <x v="2"/>
    <m/>
    <s v="ABDUL MUNAJAT"/>
    <m/>
    <x v="3"/>
    <m/>
    <s v="WAHYU PRATAMA"/>
    <m/>
    <s v="REPAIR"/>
    <m/>
    <s v="HP"/>
    <m/>
    <s v="14F"/>
    <m/>
    <s v="AKOR-014"/>
    <m/>
    <s v="ORAIMO CABLE TYPE-C 2A OCD-114C"/>
    <m/>
    <n v="15000"/>
    <m/>
    <n v="1"/>
    <m/>
    <n v="15000"/>
    <m/>
    <n v="15000"/>
    <m/>
    <m/>
    <m/>
    <s v="N/A"/>
  </r>
  <r>
    <m/>
    <x v="8"/>
    <m/>
    <s v="MF-FP.24858"/>
    <m/>
    <s v="MF-ST.22358"/>
    <m/>
    <d v="2026-05-02T00:00:00"/>
    <m/>
    <s v="Member Reguler"/>
    <m/>
    <s v="MR980980"/>
    <m/>
    <s v="ADI PRADANA"/>
    <m/>
    <s v="WAHYU PRATAMA"/>
    <m/>
    <s v="SERVICE HANDPHONE"/>
    <m/>
    <x v="0"/>
    <m/>
    <s v="EKO RISDIYANTORO JATIMULYA"/>
    <m/>
    <x v="2"/>
    <m/>
    <s v="WAHYU PRATAMA"/>
    <m/>
    <s v="REPAIR"/>
    <m/>
    <s v="SAMSUNG"/>
    <m/>
    <s v="SAM"/>
    <m/>
    <s v="JASA71"/>
    <m/>
    <s v="JASA REPAIR"/>
    <m/>
    <n v="0"/>
    <m/>
    <n v="1"/>
    <m/>
    <n v="35000"/>
    <m/>
    <n v="35000"/>
    <m/>
    <s v="TEGAR PUTRA YANSA SALES"/>
    <m/>
    <s v="N/A"/>
  </r>
  <r>
    <m/>
    <x v="8"/>
    <m/>
    <s v="MF-FP.24858"/>
    <m/>
    <s v="MF-ST.22358"/>
    <m/>
    <d v="2026-05-02T00:00:00"/>
    <m/>
    <s v="Member Reguler"/>
    <m/>
    <s v="MR980980"/>
    <m/>
    <s v="ADI PRADANA"/>
    <m/>
    <s v="WAHYU PRATAMA"/>
    <m/>
    <s v="SERVICE HANDPHONE"/>
    <m/>
    <x v="2"/>
    <m/>
    <s v="EKO RISDIYANTORO JATIMULYA"/>
    <m/>
    <x v="2"/>
    <m/>
    <s v="WAHYU PRATAMA"/>
    <m/>
    <s v="REPAIR"/>
    <m/>
    <s v="SAMSUNG"/>
    <m/>
    <s v="SAM"/>
    <m/>
    <s v="AKOR-014"/>
    <m/>
    <s v="ORAIMO CABLE TYPE-C 2A OCD-114C"/>
    <m/>
    <n v="15000"/>
    <m/>
    <n v="1"/>
    <m/>
    <n v="15000"/>
    <m/>
    <n v="15000"/>
    <m/>
    <s v="TEGAR PUTRA YANSA SALES"/>
    <m/>
    <s v="N/A"/>
  </r>
  <r>
    <m/>
    <x v="8"/>
    <m/>
    <s v="MF-FP.24855"/>
    <m/>
    <s v="MF-ST.22355"/>
    <m/>
    <d v="2026-05-02T00:00:00"/>
    <m/>
    <s v="Karyawan Internal"/>
    <m/>
    <s v="C.05241"/>
    <m/>
    <s v="BANG SUDARMANTO"/>
    <m/>
    <s v="WAHYU PRATAMA"/>
    <m/>
    <s v="PENJUALAN AKSESORIS"/>
    <m/>
    <x v="2"/>
    <m/>
    <s v="N/A"/>
    <m/>
    <x v="5"/>
    <m/>
    <s v="WAHYU PRATAMA"/>
    <m/>
    <s v="REPAIR"/>
    <m/>
    <s v="SAMSUNG"/>
    <m/>
    <s v="SAM"/>
    <m/>
    <s v="105322"/>
    <m/>
    <s v="ROBOT RSP03 UNIV 3IN1 STYLUS PEN"/>
    <m/>
    <n v="46853"/>
    <m/>
    <n v="1"/>
    <m/>
    <n v="50000"/>
    <m/>
    <n v="50000"/>
    <m/>
    <m/>
    <m/>
    <s v="N/A"/>
  </r>
  <r>
    <m/>
    <x v="8"/>
    <m/>
    <s v="MF-FP.24854"/>
    <m/>
    <s v="MF-ST.22354"/>
    <m/>
    <d v="2026-05-02T00:00:00"/>
    <m/>
    <s v="Umum"/>
    <m/>
    <s v="C.04913"/>
    <m/>
    <s v="ALDI"/>
    <m/>
    <s v="WAHYU PRATAMA"/>
    <m/>
    <s v="SERVICE HANDPHONE"/>
    <m/>
    <x v="0"/>
    <m/>
    <s v="EKO RISDIYANTORO JATIMULYA"/>
    <m/>
    <x v="2"/>
    <m/>
    <s v="WAHYU PRATAMA"/>
    <m/>
    <s v="FLEXIBEL ON/OFF"/>
    <m/>
    <s v="SAMSUNG"/>
    <m/>
    <s v="A52"/>
    <m/>
    <s v="JASA71"/>
    <m/>
    <s v="JASA REPAIR"/>
    <m/>
    <n v="0"/>
    <m/>
    <n v="1"/>
    <m/>
    <n v="125000"/>
    <m/>
    <n v="125000"/>
    <m/>
    <m/>
    <m/>
    <s v="N/A"/>
  </r>
  <r>
    <m/>
    <x v="8"/>
    <m/>
    <s v="MF-FP.24852"/>
    <m/>
    <s v="MF-ST.22351"/>
    <m/>
    <d v="2026-05-02T00:00:00"/>
    <m/>
    <s v="Umum"/>
    <m/>
    <s v="C.13148"/>
    <m/>
    <s v="JEJEN"/>
    <m/>
    <s v="WAHYU PRATAMA"/>
    <m/>
    <s v="SERVICE HANDPHONE"/>
    <m/>
    <x v="0"/>
    <m/>
    <s v="EKO RISDIYANTORO JATIMULYA"/>
    <m/>
    <x v="2"/>
    <m/>
    <s v="WAHYU PRATAMA"/>
    <m/>
    <s v="REPAIR"/>
    <m/>
    <s v="INFINIX"/>
    <m/>
    <s v="A940I"/>
    <m/>
    <s v="JASA71"/>
    <m/>
    <s v="JASA REPAIR"/>
    <m/>
    <n v="0"/>
    <m/>
    <n v="1"/>
    <m/>
    <n v="135000"/>
    <m/>
    <n v="135000"/>
    <m/>
    <m/>
    <m/>
    <s v="N/A"/>
  </r>
  <r>
    <m/>
    <x v="8"/>
    <m/>
    <s v="MF-FP.24852"/>
    <m/>
    <s v="MF-ST.22351"/>
    <m/>
    <d v="2026-05-02T00:00:00"/>
    <m/>
    <s v="Umum"/>
    <m/>
    <s v="C.13148"/>
    <m/>
    <s v="JEJEN"/>
    <m/>
    <s v="WAHYU PRATAMA"/>
    <m/>
    <s v="SERVICE HANDPHONE"/>
    <m/>
    <x v="2"/>
    <m/>
    <s v="EKO RISDIYANTORO JATIMULYA"/>
    <m/>
    <x v="2"/>
    <m/>
    <s v="WAHYU PRATAMA"/>
    <m/>
    <s v="REPAIR"/>
    <m/>
    <s v="INFINIX"/>
    <m/>
    <s v="A940I"/>
    <m/>
    <s v="AKOR-014"/>
    <m/>
    <s v="ORAIMO CABLE TYPE-C 2A OCD-114C"/>
    <m/>
    <n v="15000"/>
    <m/>
    <n v="1"/>
    <m/>
    <n v="15000"/>
    <m/>
    <n v="15000"/>
    <m/>
    <m/>
    <m/>
    <s v="N/A"/>
  </r>
  <r>
    <m/>
    <x v="8"/>
    <m/>
    <s v="MF-FP.24854"/>
    <m/>
    <s v="MF-ST.22354"/>
    <m/>
    <d v="2026-05-02T00:00:00"/>
    <m/>
    <s v="Umum"/>
    <m/>
    <s v="C.04913"/>
    <m/>
    <s v="ALDI"/>
    <m/>
    <s v="WAHYU PRATAMA"/>
    <m/>
    <s v="SERVICE HANDPHONE"/>
    <m/>
    <x v="1"/>
    <m/>
    <s v="EKO RISDIYANTORO JATIMULYA"/>
    <m/>
    <x v="2"/>
    <m/>
    <s v="WAHYU PRATAMA"/>
    <m/>
    <s v="FLEXIBEL ON/OFF"/>
    <m/>
    <s v="SAMSUNG"/>
    <m/>
    <s v="A52"/>
    <m/>
    <s v="104211"/>
    <m/>
    <s v="PERNIK TBL O/F + VLM SAM A52"/>
    <m/>
    <n v="10000"/>
    <m/>
    <n v="1"/>
    <m/>
    <n v="10000"/>
    <m/>
    <n v="10000"/>
    <m/>
    <m/>
    <m/>
    <s v="N/A"/>
  </r>
  <r>
    <m/>
    <x v="8"/>
    <m/>
    <s v="MF-FP.24853"/>
    <m/>
    <s v="MF-ST.22352"/>
    <m/>
    <d v="2026-05-02T00:00:00"/>
    <m/>
    <s v="Umum"/>
    <m/>
    <s v="C.13149"/>
    <m/>
    <s v="FEMI"/>
    <m/>
    <s v="WAHYU PRATAMA"/>
    <m/>
    <s v="SERVICE HANDPHONE"/>
    <m/>
    <x v="0"/>
    <m/>
    <s v="EKO RISDIYANTORO JATIMULYA"/>
    <m/>
    <x v="2"/>
    <m/>
    <s v="WAHYU PRATAMA"/>
    <m/>
    <s v="REPAIR"/>
    <m/>
    <s v="XIAOMI"/>
    <m/>
    <s v="EDMI NOTE 11 PRO"/>
    <m/>
    <s v="JASA71"/>
    <m/>
    <s v="JASA REPAIR"/>
    <m/>
    <n v="0"/>
    <m/>
    <n v="1"/>
    <m/>
    <n v="40000"/>
    <m/>
    <n v="40000"/>
    <m/>
    <m/>
    <m/>
    <s v="N/A"/>
  </r>
  <r>
    <m/>
    <x v="8"/>
    <m/>
    <s v="MF-FP.24854"/>
    <m/>
    <s v="MF-ST.22354"/>
    <m/>
    <d v="2026-05-02T00:00:00"/>
    <m/>
    <s v="Umum"/>
    <m/>
    <s v="C.04913"/>
    <m/>
    <s v="ALDI"/>
    <m/>
    <s v="WAHYU PRATAMA"/>
    <m/>
    <s v="SERVICE HANDPHONE"/>
    <m/>
    <x v="2"/>
    <m/>
    <s v="EKO RISDIYANTORO JATIMULYA"/>
    <m/>
    <x v="2"/>
    <m/>
    <s v="WAHYU PRATAMA"/>
    <m/>
    <s v="FLEXIBEL ON/OFF"/>
    <m/>
    <s v="SAMSUNG"/>
    <m/>
    <s v="A52"/>
    <m/>
    <s v="AKOR-014"/>
    <m/>
    <s v="ORAIMO CABLE TYPE-C 2A OCD-114C"/>
    <m/>
    <n v="15000"/>
    <m/>
    <n v="1"/>
    <m/>
    <n v="15000"/>
    <m/>
    <n v="15000"/>
    <m/>
    <m/>
    <m/>
    <s v="N/A"/>
  </r>
  <r>
    <m/>
    <x v="8"/>
    <m/>
    <s v="MF-FP.24856"/>
    <m/>
    <s v="MF-ST.22357"/>
    <m/>
    <d v="2026-05-02T00:00:00"/>
    <m/>
    <s v="Member Reguler"/>
    <m/>
    <s v="C.06501"/>
    <m/>
    <s v="ICHA"/>
    <m/>
    <s v="WAHYU PRATAMA"/>
    <m/>
    <s v="SERVICE HANDPHONE"/>
    <m/>
    <x v="0"/>
    <m/>
    <s v="EKO RISDIYANTORO JATIMULYA"/>
    <m/>
    <x v="2"/>
    <m/>
    <s v="WAHYU PRATAMA"/>
    <m/>
    <s v="REPAIR"/>
    <m/>
    <s v="APPLE"/>
    <m/>
    <s v="SE 2020"/>
    <m/>
    <s v="JASA71"/>
    <m/>
    <s v="JASA REPAIR"/>
    <m/>
    <n v="0"/>
    <m/>
    <n v="1"/>
    <m/>
    <n v="135000"/>
    <m/>
    <n v="135000"/>
    <m/>
    <s v="Achmad Indrawanto"/>
    <m/>
    <s v="N/A"/>
  </r>
  <r>
    <m/>
    <x v="8"/>
    <m/>
    <s v="MF-FP.24856"/>
    <m/>
    <s v="MF-ST.22357"/>
    <m/>
    <d v="2026-05-02T00:00:00"/>
    <m/>
    <s v="Member Reguler"/>
    <m/>
    <s v="C.06501"/>
    <m/>
    <s v="ICHA"/>
    <m/>
    <s v="WAHYU PRATAMA"/>
    <m/>
    <s v="SERVICE HANDPHONE"/>
    <m/>
    <x v="2"/>
    <m/>
    <s v="EKO RISDIYANTORO JATIMULYA"/>
    <m/>
    <x v="2"/>
    <m/>
    <s v="WAHYU PRATAMA"/>
    <m/>
    <s v="REPAIR"/>
    <m/>
    <s v="APPLE"/>
    <m/>
    <s v="SE 2020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8"/>
    <m/>
    <s v="MF-FP.24857"/>
    <m/>
    <s v="MF-ST.22353"/>
    <m/>
    <d v="2026-05-02T00:00:00"/>
    <m/>
    <s v="Umum"/>
    <m/>
    <s v="C.13150"/>
    <m/>
    <s v="ALDI"/>
    <m/>
    <s v="WAHYU PRATAMA"/>
    <m/>
    <s v="SERVICE HANDPHONE"/>
    <m/>
    <x v="0"/>
    <m/>
    <s v="EKO RISDIYANTORO JATIMULYA"/>
    <m/>
    <x v="2"/>
    <m/>
    <s v="WAHYU PRATAMA"/>
    <m/>
    <s v="LCD"/>
    <m/>
    <s v="APPLE"/>
    <m/>
    <s v="IPH 11"/>
    <m/>
    <s v="JASA71"/>
    <m/>
    <s v="JASA REPAIR"/>
    <m/>
    <n v="0"/>
    <m/>
    <n v="1"/>
    <m/>
    <n v="250000"/>
    <m/>
    <n v="250000"/>
    <m/>
    <m/>
    <m/>
    <s v="N/A"/>
  </r>
  <r>
    <m/>
    <x v="8"/>
    <m/>
    <s v="MF-FP.24857"/>
    <m/>
    <s v="MF-ST.22353"/>
    <m/>
    <d v="2026-05-02T00:00:00"/>
    <m/>
    <s v="Umum"/>
    <m/>
    <s v="C.13150"/>
    <m/>
    <s v="ALDI"/>
    <m/>
    <s v="WAHYU PRATAMA"/>
    <m/>
    <s v="SERVICE HANDPHONE"/>
    <m/>
    <x v="1"/>
    <m/>
    <s v="EKO RISDIYANTORO JATIMULYA"/>
    <m/>
    <x v="2"/>
    <m/>
    <s v="WAHYU PRATAMA"/>
    <m/>
    <s v="LCD"/>
    <m/>
    <s v="APPLE"/>
    <m/>
    <s v="IPH 11"/>
    <m/>
    <s v="100541"/>
    <m/>
    <s v="LCD.. IPH 11 FST B"/>
    <m/>
    <n v="215100"/>
    <m/>
    <n v="1"/>
    <m/>
    <n v="285000"/>
    <m/>
    <n v="285000"/>
    <m/>
    <m/>
    <m/>
    <s v="N/A"/>
  </r>
  <r>
    <m/>
    <x v="8"/>
    <m/>
    <s v="MF-FP.24857"/>
    <m/>
    <s v="MF-ST.22353"/>
    <m/>
    <d v="2026-05-02T00:00:00"/>
    <m/>
    <s v="Umum"/>
    <m/>
    <s v="C.13150"/>
    <m/>
    <s v="ALDI"/>
    <m/>
    <s v="WAHYU PRATAMA"/>
    <m/>
    <s v="SERVICE HANDPHONE"/>
    <m/>
    <x v="2"/>
    <m/>
    <s v="EKO RISDIYANTORO JATIMULYA"/>
    <m/>
    <x v="2"/>
    <m/>
    <s v="WAHYU PRATAMA"/>
    <m/>
    <s v="LCD"/>
    <m/>
    <s v="APPLE"/>
    <m/>
    <s v="IPH 11"/>
    <m/>
    <s v="AKOR-014"/>
    <m/>
    <s v="ORAIMO CABLE TYPE-C 2A OCD-114C"/>
    <m/>
    <n v="15000"/>
    <m/>
    <n v="1"/>
    <m/>
    <n v="15000"/>
    <m/>
    <n v="15000"/>
    <m/>
    <m/>
    <m/>
    <s v="N/A"/>
  </r>
  <r>
    <m/>
    <x v="8"/>
    <m/>
    <s v="MF-FP.24875"/>
    <m/>
    <s v="MF-ST.22378"/>
    <m/>
    <d v="2026-05-02T00:00:00"/>
    <m/>
    <s v="Member Reguler"/>
    <m/>
    <s v="C.13154"/>
    <m/>
    <s v="BAPAK REDI"/>
    <m/>
    <s v="Achmad Indrawanto"/>
    <m/>
    <s v="PENJUALAN AKSESORIS"/>
    <m/>
    <x v="1"/>
    <m/>
    <s v="N/A"/>
    <m/>
    <x v="5"/>
    <m/>
    <s v="Achmad Indrawanto"/>
    <m/>
    <s v="N/A"/>
    <m/>
    <s v="BELUM ADA MERK"/>
    <m/>
    <s v="N/A"/>
    <m/>
    <s v="105686"/>
    <m/>
    <s v="VIVAN DATA CABLE VDL200"/>
    <m/>
    <n v="42000"/>
    <m/>
    <n v="1"/>
    <m/>
    <n v="70000"/>
    <m/>
    <n v="70000"/>
    <m/>
    <s v="Achmad Indrawanto"/>
    <m/>
    <s v="N/A"/>
  </r>
  <r>
    <m/>
    <x v="8"/>
    <m/>
    <s v="MF-FP.24861"/>
    <m/>
    <s v="MF-ST.22330"/>
    <m/>
    <d v="2026-05-01T00:00:00"/>
    <m/>
    <s v="Umum"/>
    <m/>
    <s v="C.13144"/>
    <m/>
    <s v="AZIZAH"/>
    <m/>
    <s v="WAHYU PRATAMA"/>
    <m/>
    <s v="SERVICE LAPTOP"/>
    <m/>
    <x v="0"/>
    <m/>
    <s v="ABDUL MUNAJAT"/>
    <m/>
    <x v="3"/>
    <m/>
    <s v="WAHYU PRATAMA"/>
    <m/>
    <s v="REPAIR"/>
    <m/>
    <s v="HP"/>
    <m/>
    <s v="14F"/>
    <m/>
    <s v="JASA8"/>
    <m/>
    <s v="JASA CLEANUP"/>
    <m/>
    <n v="0"/>
    <m/>
    <n v="1"/>
    <m/>
    <n v="200000"/>
    <m/>
    <n v="200000"/>
    <m/>
    <m/>
    <m/>
    <s v="N/A"/>
  </r>
  <r>
    <m/>
    <x v="8"/>
    <m/>
    <s v="MF-FP.24860"/>
    <m/>
    <s v="MF-ST.22360"/>
    <m/>
    <d v="2026-05-02T00:00:00"/>
    <m/>
    <s v="Umum"/>
    <m/>
    <s v="C.12407"/>
    <m/>
    <s v="RYAN"/>
    <m/>
    <s v="WAHYU PRATAMA"/>
    <m/>
    <s v="SERVICE HANDPHONE"/>
    <m/>
    <x v="0"/>
    <m/>
    <s v="EKO RISDIYANTORO JATIMULYA"/>
    <m/>
    <x v="2"/>
    <m/>
    <s v="WAHYU PRATAMA"/>
    <m/>
    <s v="FLEXIBEL ON/OFF"/>
    <m/>
    <s v="SAMSUNG"/>
    <m/>
    <s v="A52"/>
    <m/>
    <s v="JASA71"/>
    <m/>
    <s v="JASA REPAIR"/>
    <m/>
    <n v="0"/>
    <m/>
    <n v="1"/>
    <m/>
    <n v="85000"/>
    <m/>
    <n v="85000"/>
    <m/>
    <m/>
    <m/>
    <s v="N/A"/>
  </r>
  <r>
    <m/>
    <x v="8"/>
    <m/>
    <s v="MF-FP.24860"/>
    <m/>
    <s v="MF-ST.22360"/>
    <m/>
    <d v="2026-05-02T00:00:00"/>
    <m/>
    <s v="Umum"/>
    <m/>
    <s v="C.12407"/>
    <m/>
    <s v="RYAN"/>
    <m/>
    <s v="WAHYU PRATAMA"/>
    <m/>
    <s v="SERVICE HANDPHONE"/>
    <m/>
    <x v="2"/>
    <m/>
    <s v="EKO RISDIYANTORO JATIMULYA"/>
    <m/>
    <x v="2"/>
    <m/>
    <s v="WAHYU PRATAMA"/>
    <m/>
    <s v="FLEXIBEL ON/OFF"/>
    <m/>
    <s v="SAMSUNG"/>
    <m/>
    <s v="A52"/>
    <m/>
    <s v="AKOR-014"/>
    <m/>
    <s v="ORAIMO CABLE TYPE-C 2A OCD-114C"/>
    <m/>
    <n v="15000"/>
    <m/>
    <n v="1"/>
    <m/>
    <n v="15000"/>
    <m/>
    <n v="15000"/>
    <m/>
    <m/>
    <m/>
    <s v="N/A"/>
  </r>
  <r>
    <m/>
    <x v="8"/>
    <m/>
    <s v="MF-FP.24862"/>
    <m/>
    <s v="MF-ST.22361"/>
    <m/>
    <d v="2026-05-02T00:00:00"/>
    <m/>
    <s v="Umum"/>
    <m/>
    <s v="C.13151"/>
    <m/>
    <s v="SIHAN"/>
    <m/>
    <s v="WAHYU PRATAMA"/>
    <m/>
    <s v="SERVICE HANDPHONE"/>
    <m/>
    <x v="0"/>
    <m/>
    <s v="EKO RISDIYANTORO JATIMULYA"/>
    <m/>
    <x v="2"/>
    <m/>
    <s v="WAHYU PRATAMA"/>
    <m/>
    <s v="FLEXIBEL CHARGER (PAPAN KONEKTOR)"/>
    <m/>
    <s v="XIAOMI"/>
    <m/>
    <s v="9C"/>
    <m/>
    <s v="JASA71"/>
    <m/>
    <s v="JASA REPAIR"/>
    <m/>
    <n v="0"/>
    <m/>
    <n v="1"/>
    <m/>
    <n v="130000"/>
    <m/>
    <n v="130000"/>
    <m/>
    <m/>
    <m/>
    <s v="N/A"/>
  </r>
  <r>
    <m/>
    <x v="8"/>
    <m/>
    <s v="MF-FP.24862"/>
    <m/>
    <s v="MF-ST.22361"/>
    <m/>
    <d v="2026-05-02T00:00:00"/>
    <m/>
    <s v="Umum"/>
    <m/>
    <s v="C.13151"/>
    <m/>
    <s v="SIHAN"/>
    <m/>
    <s v="WAHYU PRATAMA"/>
    <m/>
    <s v="SERVICE HANDPHONE"/>
    <m/>
    <x v="1"/>
    <m/>
    <s v="EKO RISDIYANTORO JATIMULYA"/>
    <m/>
    <x v="2"/>
    <m/>
    <s v="WAHYU PRATAMA"/>
    <m/>
    <s v="FLEXIBEL CHARGER (PAPAN KONEKTOR)"/>
    <m/>
    <s v="XIAOMI"/>
    <m/>
    <s v="9C"/>
    <m/>
    <s v="100249"/>
    <m/>
    <s v="FLCRG XIO REDMI 9A REDMI 9C REDMI 10A"/>
    <m/>
    <n v="15500"/>
    <m/>
    <n v="1"/>
    <m/>
    <n v="35000"/>
    <m/>
    <n v="35000"/>
    <m/>
    <m/>
    <m/>
    <s v="N/A"/>
  </r>
  <r>
    <m/>
    <x v="8"/>
    <m/>
    <s v="MF-FP.24862"/>
    <m/>
    <s v="MF-ST.22361"/>
    <m/>
    <d v="2026-05-02T00:00:00"/>
    <m/>
    <s v="Umum"/>
    <m/>
    <s v="C.13151"/>
    <m/>
    <s v="SIHAN"/>
    <m/>
    <s v="WAHYU PRATAMA"/>
    <m/>
    <s v="SERVICE HANDPHONE"/>
    <m/>
    <x v="2"/>
    <m/>
    <s v="EKO RISDIYANTORO JATIMULYA"/>
    <m/>
    <x v="2"/>
    <m/>
    <s v="WAHYU PRATAMA"/>
    <m/>
    <s v="FLEXIBEL CHARGER (PAPAN KONEKTOR)"/>
    <m/>
    <s v="XIAOMI"/>
    <m/>
    <s v="9C"/>
    <m/>
    <s v="AKOR-014"/>
    <m/>
    <s v="ORAIMO CABLE TYPE-C 2A OCD-114C"/>
    <m/>
    <n v="15000"/>
    <m/>
    <n v="1"/>
    <m/>
    <n v="15000"/>
    <m/>
    <n v="15000"/>
    <m/>
    <m/>
    <m/>
    <s v="N/A"/>
  </r>
  <r>
    <m/>
    <x v="8"/>
    <m/>
    <s v="MF-FP.24863"/>
    <m/>
    <s v="MF-ST.22340"/>
    <m/>
    <d v="2026-05-01T00:00:00"/>
    <m/>
    <s v="Member Reguler"/>
    <m/>
    <s v="C.05165"/>
    <m/>
    <s v="hermawan"/>
    <m/>
    <s v="HANIF"/>
    <m/>
    <s v="SERVICE HANDPHONE"/>
    <m/>
    <x v="0"/>
    <m/>
    <s v="EKO RISDIYANTORO JATIMULYA"/>
    <m/>
    <x v="2"/>
    <m/>
    <s v="WAHYU PRATAMA"/>
    <m/>
    <s v="HARDWARE"/>
    <m/>
    <s v="XIAOMI"/>
    <m/>
    <s v="redmi 9"/>
    <m/>
    <s v="JASA71"/>
    <m/>
    <s v="JASA REPAIR"/>
    <m/>
    <n v="0"/>
    <m/>
    <n v="1"/>
    <m/>
    <n v="70000"/>
    <m/>
    <n v="70000"/>
    <m/>
    <m/>
    <m/>
    <s v="N/A"/>
  </r>
  <r>
    <m/>
    <x v="8"/>
    <m/>
    <s v="MF-FP.24863"/>
    <m/>
    <s v="MF-ST.22340"/>
    <m/>
    <d v="2026-05-01T00:00:00"/>
    <m/>
    <s v="Member Reguler"/>
    <m/>
    <s v="C.05165"/>
    <m/>
    <s v="hermawan"/>
    <m/>
    <s v="HANIF"/>
    <m/>
    <s v="SERVICE HANDPHONE"/>
    <m/>
    <x v="1"/>
    <m/>
    <s v="EKO RISDIYANTORO JATIMULYA"/>
    <m/>
    <x v="2"/>
    <m/>
    <s v="WAHYU PRATAMA"/>
    <m/>
    <s v="HARDWARE"/>
    <m/>
    <s v="XIAOMI"/>
    <m/>
    <s v="redmi 9"/>
    <m/>
    <s v="105178"/>
    <m/>
    <s v="PERNIK TBL O/F + VLM XIO REDMI 9"/>
    <m/>
    <n v="8091.09213"/>
    <m/>
    <n v="1"/>
    <m/>
    <n v="15000"/>
    <m/>
    <n v="15000"/>
    <m/>
    <m/>
    <m/>
    <s v="N/A"/>
  </r>
  <r>
    <m/>
    <x v="8"/>
    <m/>
    <s v="MF-FP.24863"/>
    <m/>
    <s v="MF-ST.22340"/>
    <m/>
    <d v="2026-05-01T00:00:00"/>
    <m/>
    <s v="Member Reguler"/>
    <m/>
    <s v="C.05165"/>
    <m/>
    <s v="hermawan"/>
    <m/>
    <s v="HANIF"/>
    <m/>
    <s v="SERVICE HANDPHONE"/>
    <m/>
    <x v="2"/>
    <m/>
    <s v="EKO RISDIYANTORO JATIMULYA"/>
    <m/>
    <x v="2"/>
    <m/>
    <s v="WAHYU PRATAMA"/>
    <m/>
    <s v="HARDWARE"/>
    <m/>
    <s v="XIAOMI"/>
    <m/>
    <s v="redmi 9"/>
    <m/>
    <s v="AKOR-014"/>
    <m/>
    <s v="ORAIMO CABLE TYPE-C 2A OCD-114C"/>
    <m/>
    <n v="15000"/>
    <m/>
    <n v="1"/>
    <m/>
    <n v="15000"/>
    <m/>
    <n v="15000"/>
    <m/>
    <m/>
    <m/>
    <s v="N/A"/>
  </r>
  <r>
    <m/>
    <x v="8"/>
    <m/>
    <s v="MF-FP.24869"/>
    <m/>
    <m/>
    <m/>
    <m/>
    <m/>
    <m/>
    <m/>
    <s v="C.13153"/>
    <m/>
    <s v="ANISA"/>
    <m/>
    <m/>
    <m/>
    <s v="SERVICE HANDPHONE"/>
    <m/>
    <x v="2"/>
    <m/>
    <m/>
    <m/>
    <x v="0"/>
    <m/>
    <s v="Achmad Indrawanto"/>
    <m/>
    <m/>
    <m/>
    <m/>
    <m/>
    <m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8"/>
    <m/>
    <s v="MF-FP.24865"/>
    <m/>
    <s v="MF-ST.22329"/>
    <m/>
    <d v="2026-05-01T00:00:00"/>
    <m/>
    <s v="Umum"/>
    <m/>
    <s v="C.13143"/>
    <m/>
    <s v="RUDI"/>
    <m/>
    <s v="WAHYU PRATAMA"/>
    <m/>
    <s v="SERVICE HANDPHONE"/>
    <m/>
    <x v="0"/>
    <m/>
    <s v="YUVI NOFERIANTO"/>
    <m/>
    <x v="4"/>
    <m/>
    <s v="WAHYU PRATAMA"/>
    <m/>
    <s v="REPAIR"/>
    <m/>
    <s v="NOKIA"/>
    <m/>
    <s v="Nokia 4.2"/>
    <m/>
    <s v="JASA71"/>
    <m/>
    <s v="JASA REPAIR"/>
    <m/>
    <n v="0"/>
    <m/>
    <n v="1"/>
    <m/>
    <n v="35000"/>
    <m/>
    <n v="35000"/>
    <m/>
    <m/>
    <m/>
    <s v="N/A"/>
  </r>
  <r>
    <m/>
    <x v="8"/>
    <m/>
    <s v="MF-FP.24865"/>
    <m/>
    <s v="MF-ST.22329"/>
    <m/>
    <d v="2026-05-01T00:00:00"/>
    <m/>
    <s v="Umum"/>
    <m/>
    <s v="C.13143"/>
    <m/>
    <s v="RUDI"/>
    <m/>
    <s v="WAHYU PRATAMA"/>
    <m/>
    <s v="SERVICE HANDPHONE"/>
    <m/>
    <x v="2"/>
    <m/>
    <s v="YUVI NOFERIANTO"/>
    <m/>
    <x v="4"/>
    <m/>
    <s v="WAHYU PRATAMA"/>
    <m/>
    <s v="REPAIR"/>
    <m/>
    <s v="NOKIA"/>
    <m/>
    <s v="Nokia 4.2"/>
    <m/>
    <s v="AKOR-014"/>
    <m/>
    <s v="ORAIMO CABLE TYPE-C 2A OCD-114C"/>
    <m/>
    <n v="15000"/>
    <m/>
    <n v="1"/>
    <m/>
    <n v="15000"/>
    <m/>
    <n v="15000"/>
    <m/>
    <m/>
    <m/>
    <s v="N/A"/>
  </r>
  <r>
    <m/>
    <x v="8"/>
    <m/>
    <s v="MF-FP.24868"/>
    <m/>
    <s v="MF-ST.22366"/>
    <m/>
    <d v="2026-05-02T00:00:00"/>
    <m/>
    <s v="Member Reguler"/>
    <m/>
    <s v="C.13152"/>
    <m/>
    <s v="RIAN"/>
    <m/>
    <s v="Achmad Indrawanto"/>
    <m/>
    <s v="SERVICE HANDPHONE"/>
    <m/>
    <x v="0"/>
    <m/>
    <s v="YUVI NOFERIANTO"/>
    <m/>
    <x v="4"/>
    <m/>
    <s v="Achmad Indrawanto"/>
    <m/>
    <s v="REPAIR"/>
    <m/>
    <s v="OPPO"/>
    <m/>
    <s v="Oppo a77s"/>
    <m/>
    <s v="JASA71"/>
    <m/>
    <s v="JASA REPAIR"/>
    <m/>
    <n v="0"/>
    <m/>
    <n v="1"/>
    <m/>
    <n v="125000"/>
    <m/>
    <n v="125000"/>
    <m/>
    <s v="Achmad Indrawanto"/>
    <m/>
    <s v="N/A"/>
  </r>
  <r>
    <m/>
    <x v="8"/>
    <m/>
    <s v="MF-FP.24867"/>
    <m/>
    <s v="MF-ST.22306"/>
    <m/>
    <d v="2026-04-30T00:00:00"/>
    <m/>
    <s v="Umum"/>
    <m/>
    <s v="C.13134"/>
    <m/>
    <s v="DRAJAT"/>
    <m/>
    <s v="WAHYU PRATAMA"/>
    <m/>
    <s v="SERVICE LAPTOP"/>
    <m/>
    <x v="0"/>
    <m/>
    <s v="ABDUL MUNAJAT"/>
    <m/>
    <x v="3"/>
    <m/>
    <s v="Achmad Indrawanto"/>
    <m/>
    <s v="BATERAI"/>
    <m/>
    <s v="ASUS"/>
    <m/>
    <s v="Asus A1400E"/>
    <m/>
    <s v="JASA71"/>
    <m/>
    <s v="JASA REPAIR"/>
    <m/>
    <n v="0"/>
    <m/>
    <n v="1"/>
    <m/>
    <n v="495000"/>
    <m/>
    <n v="495000"/>
    <m/>
    <m/>
    <m/>
    <s v="N/A"/>
  </r>
  <r>
    <m/>
    <x v="8"/>
    <m/>
    <s v="MF-FP.24867"/>
    <m/>
    <s v="MF-ST.22306"/>
    <m/>
    <d v="2026-04-30T00:00:00"/>
    <m/>
    <s v="Umum"/>
    <m/>
    <s v="C.13134"/>
    <m/>
    <s v="DRAJAT"/>
    <m/>
    <s v="WAHYU PRATAMA"/>
    <m/>
    <s v="SERVICE LAPTOP"/>
    <m/>
    <x v="1"/>
    <m/>
    <s v="ABDUL MUNAJAT"/>
    <m/>
    <x v="3"/>
    <m/>
    <s v="Achmad Indrawanto"/>
    <m/>
    <s v="BATERAI"/>
    <m/>
    <s v="ASUS"/>
    <m/>
    <s v="Asus A1400E"/>
    <m/>
    <s v="102850"/>
    <m/>
    <s v="BATER LPT ASS A421U A1400E C21N1818"/>
    <m/>
    <n v="259000"/>
    <m/>
    <n v="1"/>
    <m/>
    <n v="330000"/>
    <m/>
    <n v="330000"/>
    <m/>
    <m/>
    <m/>
    <s v="N/A"/>
  </r>
  <r>
    <m/>
    <x v="8"/>
    <m/>
    <s v="MF-FP.24866"/>
    <m/>
    <s v="MF-ST.22266"/>
    <m/>
    <d v="2026-04-28T00:00:00"/>
    <m/>
    <s v="Member Reguler"/>
    <m/>
    <s v="C.13114"/>
    <m/>
    <s v="ARDIAN"/>
    <m/>
    <s v="Achmad Indrawanto"/>
    <m/>
    <s v="SERVICE LAPTOP"/>
    <m/>
    <x v="0"/>
    <m/>
    <s v="ARIFIN SANTOSO JATIMULYA"/>
    <m/>
    <x v="6"/>
    <m/>
    <s v="Achmad Indrawanto"/>
    <m/>
    <s v="REPAIR"/>
    <m/>
    <s v="ACER"/>
    <m/>
    <s v="SWIFT 3"/>
    <m/>
    <s v="JASA71"/>
    <m/>
    <s v="JASA REPAIR"/>
    <m/>
    <n v="0"/>
    <m/>
    <n v="1"/>
    <m/>
    <n v="375000"/>
    <m/>
    <n v="375000"/>
    <m/>
    <s v="Achmad Indrawanto"/>
    <m/>
    <s v="N/A"/>
  </r>
  <r>
    <m/>
    <x v="8"/>
    <m/>
    <s v="MF-FP.24866"/>
    <m/>
    <s v="MF-ST.22266"/>
    <m/>
    <d v="2026-04-28T00:00:00"/>
    <m/>
    <s v="Member Reguler"/>
    <m/>
    <s v="C.13114"/>
    <m/>
    <s v="ARDIAN"/>
    <m/>
    <s v="Achmad Indrawanto"/>
    <m/>
    <s v="SERVICE LAPTOP"/>
    <m/>
    <x v="1"/>
    <m/>
    <s v="ARIFIN SANTOSO JATIMULYA"/>
    <m/>
    <x v="6"/>
    <m/>
    <s v="Achmad Indrawanto"/>
    <m/>
    <s v="REPAIR"/>
    <m/>
    <s v="ACER"/>
    <m/>
    <s v="SWIFT 3"/>
    <m/>
    <s v="105815"/>
    <m/>
    <s v="VGEN RAM PLATINUM SODIMM DDR4 4GB PC-21300/2666MHZ"/>
    <m/>
    <n v="471000"/>
    <m/>
    <n v="1"/>
    <m/>
    <n v="600000"/>
    <m/>
    <n v="600000"/>
    <m/>
    <s v="Achmad Indrawanto"/>
    <m/>
    <s v="N/A"/>
  </r>
  <r>
    <m/>
    <x v="8"/>
    <m/>
    <s v="MF-FP.24866"/>
    <m/>
    <s v="MF-ST.22266"/>
    <m/>
    <d v="2026-04-28T00:00:00"/>
    <m/>
    <s v="Member Reguler"/>
    <m/>
    <s v="C.13114"/>
    <m/>
    <s v="ARDIAN"/>
    <m/>
    <s v="Achmad Indrawanto"/>
    <m/>
    <s v="SERVICE LAPTOP"/>
    <m/>
    <x v="2"/>
    <m/>
    <s v="ARIFIN SANTOSO JATIMULYA"/>
    <m/>
    <x v="6"/>
    <m/>
    <s v="Achmad Indrawanto"/>
    <m/>
    <s v="REPAIR"/>
    <m/>
    <s v="ACER"/>
    <m/>
    <s v="SWIFT 3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8"/>
    <m/>
    <s v="MF-FP.24867"/>
    <m/>
    <s v="MF-ST.22306"/>
    <m/>
    <d v="2026-04-30T00:00:00"/>
    <m/>
    <s v="Umum"/>
    <m/>
    <s v="C.13134"/>
    <m/>
    <s v="DRAJAT"/>
    <m/>
    <s v="WAHYU PRATAMA"/>
    <m/>
    <s v="SERVICE LAPTOP"/>
    <m/>
    <x v="2"/>
    <m/>
    <s v="ABDUL MUNAJAT"/>
    <m/>
    <x v="3"/>
    <m/>
    <s v="Achmad Indrawanto"/>
    <m/>
    <s v="BATERAI"/>
    <m/>
    <s v="ASUS"/>
    <m/>
    <s v="Asus A1400E"/>
    <m/>
    <s v="AKOR-014"/>
    <m/>
    <s v="ORAIMO CABLE TYPE-C 2A OCD-114C"/>
    <m/>
    <n v="15000"/>
    <m/>
    <n v="1"/>
    <m/>
    <n v="25000"/>
    <m/>
    <n v="25000"/>
    <m/>
    <m/>
    <m/>
    <s v="N/A"/>
  </r>
  <r>
    <m/>
    <x v="8"/>
    <m/>
    <s v="MF-FP.24868"/>
    <m/>
    <s v="MF-ST.22366"/>
    <m/>
    <d v="2026-05-02T00:00:00"/>
    <m/>
    <s v="Member Reguler"/>
    <m/>
    <s v="C.13152"/>
    <m/>
    <s v="RIAN"/>
    <m/>
    <s v="Achmad Indrawanto"/>
    <m/>
    <s v="SERVICE HANDPHONE"/>
    <m/>
    <x v="2"/>
    <m/>
    <s v="YUVI NOFERIANTO"/>
    <m/>
    <x v="4"/>
    <m/>
    <s v="Achmad Indrawanto"/>
    <m/>
    <s v="REPAIR"/>
    <m/>
    <s v="OPPO"/>
    <m/>
    <s v="Oppo a77s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8"/>
    <m/>
    <s v="MF-FP.24869"/>
    <m/>
    <s v="MF-ST.22367"/>
    <m/>
    <d v="2026-05-02T00:00:00"/>
    <m/>
    <s v="Member Reguler"/>
    <m/>
    <s v="C.13153"/>
    <m/>
    <s v="ANISA"/>
    <m/>
    <s v="Achmad Indrawanto"/>
    <m/>
    <s v="SERVICE HANDPHONE"/>
    <m/>
    <x v="0"/>
    <m/>
    <s v="ARI MARWAN"/>
    <m/>
    <x v="0"/>
    <m/>
    <s v="Achmad Indrawanto"/>
    <m/>
    <s v="REPAIR"/>
    <m/>
    <s v="APPLE"/>
    <m/>
    <s v="IPHONE XR"/>
    <m/>
    <s v="JASA71"/>
    <m/>
    <s v="JASA REPAIR"/>
    <m/>
    <n v="0"/>
    <m/>
    <n v="1"/>
    <m/>
    <n v="75000"/>
    <m/>
    <n v="75000"/>
    <m/>
    <s v="Achmad Indrawanto"/>
    <m/>
    <s v="N/A"/>
  </r>
  <r>
    <m/>
    <x v="8"/>
    <m/>
    <s v="MF-FP.24864"/>
    <m/>
    <s v="MF-ST.22363"/>
    <m/>
    <d v="2026-05-02T00:00:00"/>
    <m/>
    <s v="Member Reguler"/>
    <m/>
    <s v="C.12779"/>
    <m/>
    <s v="FARIS"/>
    <m/>
    <s v="Achmad Indrawanto"/>
    <m/>
    <s v="SERVICE HANDPHONE"/>
    <m/>
    <x v="0"/>
    <m/>
    <s v="EKO RISDIYANTORO JATIMULYA"/>
    <m/>
    <x v="2"/>
    <m/>
    <s v="Achmad Indrawanto"/>
    <m/>
    <s v="BATERAI"/>
    <m/>
    <s v="XIAOMI"/>
    <m/>
    <s v="poco m3 pro 5g"/>
    <m/>
    <s v="JASA71"/>
    <m/>
    <s v="JASA REPAIR"/>
    <m/>
    <n v="0"/>
    <m/>
    <n v="1"/>
    <m/>
    <n v="165000"/>
    <m/>
    <n v="165000"/>
    <m/>
    <s v="Achmad Indrawanto"/>
    <m/>
    <s v="N/A"/>
  </r>
  <r>
    <m/>
    <x v="8"/>
    <m/>
    <s v="MF-FP.24864"/>
    <m/>
    <s v="MF-ST.22363"/>
    <m/>
    <d v="2026-05-02T00:00:00"/>
    <m/>
    <s v="Member Reguler"/>
    <m/>
    <s v="C.12779"/>
    <m/>
    <s v="FARIS"/>
    <m/>
    <s v="Achmad Indrawanto"/>
    <m/>
    <s v="SERVICE HANDPHONE"/>
    <m/>
    <x v="1"/>
    <m/>
    <s v="EKO RISDIYANTORO JATIMULYA"/>
    <m/>
    <x v="2"/>
    <m/>
    <s v="Achmad Indrawanto"/>
    <m/>
    <s v="BATERAI"/>
    <m/>
    <s v="XIAOMI"/>
    <m/>
    <s v="poco m3 pro 5g"/>
    <m/>
    <s v="102427"/>
    <m/>
    <s v="BATER XIO REDMI 10 4G/NOTE 10 5G/POCO M3 PRO 5G BN5A"/>
    <m/>
    <n v="113081.17271300001"/>
    <m/>
    <n v="1"/>
    <m/>
    <n v="160000"/>
    <m/>
    <n v="160000"/>
    <m/>
    <s v="Achmad Indrawanto"/>
    <m/>
    <s v="N/A"/>
  </r>
  <r>
    <m/>
    <x v="8"/>
    <m/>
    <s v="MF-FP.24864"/>
    <m/>
    <s v="MF-ST.22363"/>
    <m/>
    <d v="2026-05-02T00:00:00"/>
    <m/>
    <s v="Member Reguler"/>
    <m/>
    <s v="C.12779"/>
    <m/>
    <s v="FARIS"/>
    <m/>
    <s v="Achmad Indrawanto"/>
    <m/>
    <s v="SERVICE HANDPHONE"/>
    <m/>
    <x v="2"/>
    <m/>
    <s v="EKO RISDIYANTORO JATIMULYA"/>
    <m/>
    <x v="2"/>
    <m/>
    <s v="Achmad Indrawanto"/>
    <m/>
    <s v="BATERAI"/>
    <m/>
    <s v="XIAOMI"/>
    <m/>
    <s v="poco m3 pro 5g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8"/>
    <m/>
    <s v="MF-FP.24870"/>
    <m/>
    <s v="MF-ST.22370"/>
    <m/>
    <d v="2026-05-02T00:00:00"/>
    <m/>
    <s v="Umum"/>
    <m/>
    <s v="C.13155"/>
    <m/>
    <s v="ZAHFI"/>
    <m/>
    <s v="Achmad Indrawanto"/>
    <m/>
    <s v="SERVICE HANDPHONE"/>
    <m/>
    <x v="0"/>
    <m/>
    <s v="YUVI NOFERIANTO"/>
    <m/>
    <x v="4"/>
    <m/>
    <s v="Achmad Indrawanto"/>
    <m/>
    <s v="KONEKTOR CHARGER"/>
    <m/>
    <s v="XIAOMI"/>
    <m/>
    <s v="Redmi note 13 pro 5g"/>
    <m/>
    <s v="JASA71"/>
    <m/>
    <s v="JASA REPAIR"/>
    <m/>
    <n v="0"/>
    <m/>
    <n v="1"/>
    <m/>
    <n v="165000"/>
    <m/>
    <n v="165000"/>
    <m/>
    <s v="Achmad Indrawanto"/>
    <m/>
    <s v="N/A"/>
  </r>
  <r>
    <m/>
    <x v="8"/>
    <m/>
    <s v="MF-FP.24870"/>
    <m/>
    <s v="MF-ST.22370"/>
    <m/>
    <d v="2026-05-02T00:00:00"/>
    <m/>
    <s v="Umum"/>
    <m/>
    <s v="C.13155"/>
    <m/>
    <s v="ZAHFI"/>
    <m/>
    <s v="Achmad Indrawanto"/>
    <m/>
    <s v="SERVICE HANDPHONE"/>
    <m/>
    <x v="1"/>
    <m/>
    <s v="YUVI NOFERIANTO"/>
    <m/>
    <x v="4"/>
    <m/>
    <s v="Achmad Indrawanto"/>
    <m/>
    <s v="KONEKTOR CHARGER"/>
    <m/>
    <s v="XIAOMI"/>
    <m/>
    <s v="Redmi note 13 pro 5g"/>
    <m/>
    <s v="107056"/>
    <m/>
    <s v="FLCRG XIO REDMI NOTE 13 PRO 5G / POCO X6 5G"/>
    <m/>
    <n v="36050"/>
    <m/>
    <n v="1"/>
    <m/>
    <n v="60000"/>
    <m/>
    <n v="60000"/>
    <m/>
    <s v="Achmad Indrawanto"/>
    <m/>
    <s v="N/A"/>
  </r>
  <r>
    <m/>
    <x v="8"/>
    <m/>
    <s v="MF-FP.24870"/>
    <m/>
    <s v="MF-ST.22370"/>
    <m/>
    <d v="2026-05-02T00:00:00"/>
    <m/>
    <s v="Umum"/>
    <m/>
    <s v="C.13155"/>
    <m/>
    <s v="ZAHFI"/>
    <m/>
    <s v="Achmad Indrawanto"/>
    <m/>
    <s v="SERVICE HANDPHONE"/>
    <m/>
    <x v="2"/>
    <m/>
    <s v="YUVI NOFERIANTO"/>
    <m/>
    <x v="4"/>
    <m/>
    <s v="Achmad Indrawanto"/>
    <m/>
    <s v="KONEKTOR CHARGER"/>
    <m/>
    <s v="XIAOMI"/>
    <m/>
    <s v="Redmi note 13 pro 5g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9"/>
    <m/>
    <s v="MF-FP.24881"/>
    <m/>
    <s v="MF-ST.22385"/>
    <m/>
    <d v="2026-05-03T00:00:00"/>
    <m/>
    <s v="Member Reguler"/>
    <m/>
    <s v="C.07445"/>
    <m/>
    <s v="PATONI"/>
    <m/>
    <s v="Achmad Indrawanto"/>
    <m/>
    <s v="SERVICE HANDPHONE"/>
    <m/>
    <x v="0"/>
    <m/>
    <s v="ARI MARWAN"/>
    <m/>
    <x v="0"/>
    <m/>
    <s v="Achmad Indrawanto"/>
    <m/>
    <s v="BATERAI"/>
    <m/>
    <s v="SAMSUNG"/>
    <m/>
    <s v="samsung a04s"/>
    <m/>
    <s v="JASA71"/>
    <m/>
    <s v="JASA REPAIR"/>
    <m/>
    <n v="0"/>
    <m/>
    <n v="1"/>
    <m/>
    <n v="185000"/>
    <m/>
    <n v="185000"/>
    <m/>
    <s v="Achmad Indrawanto"/>
    <m/>
    <s v="N/A"/>
  </r>
  <r>
    <m/>
    <x v="9"/>
    <m/>
    <s v="MF-FP.24881"/>
    <m/>
    <s v="MF-ST.22385"/>
    <m/>
    <d v="2026-05-03T00:00:00"/>
    <m/>
    <s v="Member Reguler"/>
    <m/>
    <s v="C.07445"/>
    <m/>
    <s v="PATONI"/>
    <m/>
    <s v="Achmad Indrawanto"/>
    <m/>
    <s v="SERVICE HANDPHONE"/>
    <m/>
    <x v="1"/>
    <m/>
    <s v="ARI MARWAN"/>
    <m/>
    <x v="0"/>
    <m/>
    <s v="Achmad Indrawanto"/>
    <m/>
    <s v="BATERAI"/>
    <m/>
    <s v="SAMSUNG"/>
    <m/>
    <s v="samsung a04s"/>
    <m/>
    <s v="101838"/>
    <m/>
    <s v="BATER DOUBLE POWER SAM A21s/A02/A04s/M02/A12/A13 EB-BA217ABY"/>
    <m/>
    <n v="188052.140743"/>
    <m/>
    <n v="1"/>
    <m/>
    <n v="190000"/>
    <m/>
    <n v="190000"/>
    <m/>
    <s v="Achmad Indrawanto"/>
    <m/>
    <s v="N/A"/>
  </r>
  <r>
    <m/>
    <x v="9"/>
    <m/>
    <s v="MF-FP.24881"/>
    <m/>
    <s v="MF-ST.22385"/>
    <m/>
    <d v="2026-05-03T00:00:00"/>
    <m/>
    <s v="Member Reguler"/>
    <m/>
    <s v="C.07445"/>
    <m/>
    <s v="PATONI"/>
    <m/>
    <s v="Achmad Indrawanto"/>
    <m/>
    <s v="SERVICE HANDPHONE"/>
    <m/>
    <x v="2"/>
    <m/>
    <s v="ARI MARWAN"/>
    <m/>
    <x v="0"/>
    <m/>
    <s v="Achmad Indrawanto"/>
    <m/>
    <s v="BATERAI"/>
    <m/>
    <s v="SAMSUNG"/>
    <m/>
    <s v="samsung a04s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9"/>
    <m/>
    <s v="MF-FP.24876"/>
    <m/>
    <s v="MF-ST.22381"/>
    <m/>
    <d v="2026-05-03T00:00:00"/>
    <m/>
    <s v="Member Reguler"/>
    <m/>
    <s v="C.02791"/>
    <m/>
    <s v="KAFI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6271"/>
    <m/>
    <s v="ANKER 322 USB-C TO LIGHTNING CABLE (3FT BRAIDED) A81B5H21 WHITE"/>
    <m/>
    <n v="140000"/>
    <m/>
    <n v="1"/>
    <m/>
    <n v="180000"/>
    <m/>
    <n v="180000"/>
    <m/>
    <s v="Achmad Indrawanto"/>
    <m/>
    <s v="N/A"/>
  </r>
  <r>
    <m/>
    <x v="9"/>
    <m/>
    <s v="MF-FP.24877"/>
    <m/>
    <s v="MF-ST.22382"/>
    <m/>
    <d v="2026-05-03T00:00:00"/>
    <m/>
    <s v="Member Reguler"/>
    <m/>
    <s v="C.13162"/>
    <m/>
    <s v="RAFI NAUFAL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0024"/>
    <m/>
    <s v="VIVAN HYDROGEL BASIC ANTI GLARE VSP03T"/>
    <m/>
    <n v="14190.080550000001"/>
    <m/>
    <n v="1"/>
    <m/>
    <n v="75000"/>
    <m/>
    <n v="75000"/>
    <m/>
    <s v="Achmad Indrawanto"/>
    <m/>
    <s v="N/A"/>
  </r>
  <r>
    <m/>
    <x v="9"/>
    <m/>
    <s v="MF-FP.24879"/>
    <m/>
    <s v="MF-ST.22384"/>
    <m/>
    <d v="2026-05-03T00:00:00"/>
    <m/>
    <s v="Umum"/>
    <m/>
    <s v="C.01681"/>
    <m/>
    <s v="SANTI"/>
    <m/>
    <s v="Achmad Indrawanto"/>
    <m/>
    <s v="SERVICE HANDPHONE"/>
    <m/>
    <x v="1"/>
    <m/>
    <s v="ARI MARWAN"/>
    <m/>
    <x v="0"/>
    <m/>
    <s v="Achmad Indrawanto"/>
    <m/>
    <s v="LCD"/>
    <m/>
    <s v="VIVO"/>
    <m/>
    <s v="Vivo y19"/>
    <m/>
    <s v="100170"/>
    <m/>
    <s v="LCD.. VIV Y19 B"/>
    <m/>
    <n v="133934.21546599999"/>
    <m/>
    <n v="1"/>
    <m/>
    <n v="200000"/>
    <m/>
    <n v="200000"/>
    <m/>
    <m/>
    <m/>
    <s v="N/A"/>
  </r>
  <r>
    <m/>
    <x v="9"/>
    <m/>
    <s v="MF-FP.24878"/>
    <m/>
    <s v="MF-ST.22261"/>
    <m/>
    <d v="2026-04-28T00:00:00"/>
    <m/>
    <s v="Member Reguler"/>
    <m/>
    <s v="C.13113"/>
    <m/>
    <s v="WIJI LESTARI"/>
    <m/>
    <s v="Achmad Indrawanto"/>
    <m/>
    <s v="PENJUALAN AKSESORIS"/>
    <m/>
    <x v="1"/>
    <m/>
    <s v="N/A"/>
    <m/>
    <x v="5"/>
    <m/>
    <s v="Achmad Indrawanto"/>
    <m/>
    <s v="N/A"/>
    <m/>
    <s v="BELUM ADA MERK"/>
    <m/>
    <s v="ADAPTER"/>
    <m/>
    <s v="103652"/>
    <m/>
    <s v="ADPTR LPT ACR 19V 2.37A"/>
    <m/>
    <n v="71414.614296"/>
    <m/>
    <n v="1"/>
    <m/>
    <n v="250000"/>
    <m/>
    <n v="250000"/>
    <m/>
    <s v="Achmad Indrawanto"/>
    <m/>
    <s v="N/A"/>
  </r>
  <r>
    <m/>
    <x v="9"/>
    <m/>
    <s v="MF-FP.24876"/>
    <m/>
    <s v="MF-ST.22381"/>
    <m/>
    <d v="2026-05-03T00:00:00"/>
    <m/>
    <s v="Member Reguler"/>
    <m/>
    <s v="C.02791"/>
    <m/>
    <s v="KAFI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1487"/>
    <m/>
    <s v="BROOKLYN TPGS. IPH 14 PRO VER 2 CLEAR"/>
    <m/>
    <n v="81000"/>
    <m/>
    <n v="1"/>
    <m/>
    <n v="130000"/>
    <m/>
    <n v="130000"/>
    <m/>
    <s v="Achmad Indrawanto"/>
    <m/>
    <s v="N/A"/>
  </r>
  <r>
    <m/>
    <x v="9"/>
    <m/>
    <s v="MF-FP.24879"/>
    <m/>
    <s v="MF-ST.22384"/>
    <m/>
    <d v="2026-05-03T00:00:00"/>
    <m/>
    <s v="Umum"/>
    <m/>
    <s v="C.01681"/>
    <m/>
    <s v="SANTI"/>
    <m/>
    <s v="Achmad Indrawanto"/>
    <m/>
    <s v="SERVICE HANDPHONE"/>
    <m/>
    <x v="0"/>
    <m/>
    <s v="ARI MARWAN"/>
    <m/>
    <x v="0"/>
    <m/>
    <s v="Achmad Indrawanto"/>
    <m/>
    <s v="LCD"/>
    <m/>
    <s v="VIVO"/>
    <m/>
    <s v="Vivo y19"/>
    <m/>
    <s v="JASA71"/>
    <m/>
    <s v="JASA REPAIR"/>
    <m/>
    <n v="0"/>
    <m/>
    <n v="1"/>
    <m/>
    <n v="225000"/>
    <m/>
    <n v="225000"/>
    <m/>
    <m/>
    <m/>
    <s v="N/A"/>
  </r>
  <r>
    <m/>
    <x v="9"/>
    <m/>
    <s v="MF-FP.24879"/>
    <m/>
    <s v="MF-ST.22384"/>
    <m/>
    <d v="2026-05-03T00:00:00"/>
    <m/>
    <s v="Umum"/>
    <m/>
    <s v="C.01681"/>
    <m/>
    <s v="SANTI"/>
    <m/>
    <s v="Achmad Indrawanto"/>
    <m/>
    <s v="SERVICE HANDPHONE"/>
    <m/>
    <x v="2"/>
    <m/>
    <s v="ARI MARWAN"/>
    <m/>
    <x v="0"/>
    <m/>
    <s v="Achmad Indrawanto"/>
    <m/>
    <s v="LCD"/>
    <m/>
    <s v="VIVO"/>
    <m/>
    <s v="Vivo y19"/>
    <m/>
    <s v="AKOR-014"/>
    <m/>
    <s v="ORAIMO CABLE TYPE-C 2A OCD-114C"/>
    <m/>
    <n v="15000"/>
    <m/>
    <n v="1"/>
    <m/>
    <n v="25000"/>
    <m/>
    <n v="25000"/>
    <m/>
    <m/>
    <m/>
    <s v="N/A"/>
  </r>
  <r>
    <m/>
    <x v="9"/>
    <m/>
    <s v="MF-FP.24880"/>
    <m/>
    <s v="MF-ST.21992"/>
    <m/>
    <d v="2026-04-18T00:00:00"/>
    <m/>
    <s v="Umum"/>
    <m/>
    <s v="C.13002"/>
    <m/>
    <s v="SITI"/>
    <m/>
    <s v="WAHYU PRATAMA"/>
    <m/>
    <s v="SERVICE CPU"/>
    <m/>
    <x v="0"/>
    <m/>
    <s v="ARIFIN SANTOSO JATIMULYA"/>
    <m/>
    <x v="6"/>
    <m/>
    <s v="Achmad Indrawanto"/>
    <m/>
    <s v="RAM"/>
    <m/>
    <s v="BLACKBERRY"/>
    <m/>
    <s v="CPU HITAM LEGAM"/>
    <m/>
    <s v="JASA71"/>
    <m/>
    <s v="JASA REPAIR"/>
    <m/>
    <n v="0"/>
    <m/>
    <n v="1"/>
    <m/>
    <n v="430000"/>
    <m/>
    <n v="430000"/>
    <m/>
    <m/>
    <m/>
    <s v="N/A"/>
  </r>
  <r>
    <m/>
    <x v="9"/>
    <m/>
    <s v="MF-FP.24880"/>
    <m/>
    <s v="MF-ST.21992"/>
    <m/>
    <d v="2026-04-18T00:00:00"/>
    <m/>
    <s v="Umum"/>
    <m/>
    <s v="C.13002"/>
    <m/>
    <s v="SITI"/>
    <m/>
    <s v="WAHYU PRATAMA"/>
    <m/>
    <s v="SERVICE CPU"/>
    <m/>
    <x v="1"/>
    <m/>
    <s v="ARIFIN SANTOSO JATIMULYA"/>
    <m/>
    <x v="6"/>
    <m/>
    <s v="Achmad Indrawanto"/>
    <m/>
    <s v="RAM"/>
    <m/>
    <s v="BLACKBERRY"/>
    <m/>
    <s v="CPU HITAM LEGAM"/>
    <m/>
    <s v="105611"/>
    <m/>
    <s v="VGEN PLATINUM LONGDIMM DDR3 4GB PC 12800 1600MHZ RAM PC"/>
    <m/>
    <n v="153396.82539700001"/>
    <m/>
    <n v="1"/>
    <m/>
    <n v="195000"/>
    <m/>
    <n v="195000"/>
    <m/>
    <m/>
    <m/>
    <s v="N/A"/>
  </r>
  <r>
    <m/>
    <x v="9"/>
    <m/>
    <s v="MF-FP.24880"/>
    <m/>
    <s v="MF-ST.21992"/>
    <m/>
    <d v="2026-04-18T00:00:00"/>
    <m/>
    <s v="Umum"/>
    <m/>
    <s v="C.13002"/>
    <m/>
    <s v="SITI"/>
    <m/>
    <s v="WAHYU PRATAMA"/>
    <m/>
    <s v="SERVICE CPU"/>
    <m/>
    <x v="2"/>
    <m/>
    <s v="ARIFIN SANTOSO JATIMULYA"/>
    <m/>
    <x v="6"/>
    <m/>
    <s v="Achmad Indrawanto"/>
    <m/>
    <s v="RAM"/>
    <m/>
    <s v="BLACKBERRY"/>
    <m/>
    <s v="CPU HITAM LEGAM"/>
    <m/>
    <s v="AKOR-014"/>
    <m/>
    <s v="ORAIMO CABLE TYPE-C 2A OCD-114C"/>
    <m/>
    <n v="15000"/>
    <m/>
    <n v="1"/>
    <m/>
    <n v="25000"/>
    <m/>
    <n v="25000"/>
    <m/>
    <m/>
    <m/>
    <s v="N/A"/>
  </r>
  <r>
    <m/>
    <x v="9"/>
    <m/>
    <s v="MF-FP.24882"/>
    <m/>
    <s v="MF-ST.22388"/>
    <m/>
    <d v="2026-05-03T00:00:00"/>
    <m/>
    <s v="Umum"/>
    <m/>
    <s v="C.13142"/>
    <m/>
    <s v="SARAH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4160"/>
    <m/>
    <s v="ROBOT CHARGER RT-K10 W TOPLES"/>
    <m/>
    <n v="12843.814992"/>
    <m/>
    <n v="1"/>
    <m/>
    <n v="30000"/>
    <m/>
    <n v="30000"/>
    <m/>
    <m/>
    <m/>
    <s v="N/A"/>
  </r>
  <r>
    <m/>
    <x v="9"/>
    <m/>
    <s v="MF-FP.24882"/>
    <m/>
    <s v="MF-ST.22388"/>
    <m/>
    <d v="2026-05-03T00:00:00"/>
    <m/>
    <s v="Umum"/>
    <m/>
    <s v="C.13142"/>
    <m/>
    <s v="SARAH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4780"/>
    <m/>
    <s v="ROBOT DATA CABLE RBM100 II COLOURFULL TOPLES"/>
    <m/>
    <n v="6236.8288540000003"/>
    <m/>
    <n v="1"/>
    <m/>
    <n v="15000"/>
    <m/>
    <n v="15000"/>
    <m/>
    <m/>
    <m/>
    <s v="N/A"/>
  </r>
  <r>
    <m/>
    <x v="9"/>
    <m/>
    <s v="MF-FP.24883"/>
    <m/>
    <s v="MF-ST.22386"/>
    <m/>
    <d v="2026-05-03T00:00:00"/>
    <m/>
    <s v="Umum"/>
    <m/>
    <s v="C.13142"/>
    <m/>
    <s v="SARAH"/>
    <m/>
    <s v="Achmad Indrawanto"/>
    <m/>
    <s v="SERVICE HANDPHONE"/>
    <m/>
    <x v="0"/>
    <m/>
    <s v="ARI MARWAN"/>
    <m/>
    <x v="0"/>
    <m/>
    <s v="Achmad Indrawanto"/>
    <m/>
    <s v="FLEXIBEL CHARGER (PAPAN KONEKTOR)"/>
    <m/>
    <s v="VIVO"/>
    <m/>
    <s v="Y21S"/>
    <m/>
    <s v="JASA71"/>
    <m/>
    <s v="JASA REPAIR"/>
    <m/>
    <n v="0"/>
    <m/>
    <n v="1"/>
    <m/>
    <n v="120000"/>
    <m/>
    <n v="120000"/>
    <m/>
    <m/>
    <m/>
    <s v="N/A"/>
  </r>
  <r>
    <m/>
    <x v="9"/>
    <m/>
    <s v="MF-FP.24883"/>
    <m/>
    <s v="MF-ST.22386"/>
    <m/>
    <d v="2026-05-03T00:00:00"/>
    <m/>
    <s v="Umum"/>
    <m/>
    <s v="C.13142"/>
    <m/>
    <s v="SARAH"/>
    <m/>
    <s v="Achmad Indrawanto"/>
    <m/>
    <s v="SERVICE HANDPHONE"/>
    <m/>
    <x v="1"/>
    <m/>
    <s v="ARI MARWAN"/>
    <m/>
    <x v="0"/>
    <m/>
    <s v="Achmad Indrawanto"/>
    <m/>
    <s v="FLEXIBEL CHARGER (PAPAN KONEKTOR)"/>
    <m/>
    <s v="VIVO"/>
    <m/>
    <s v="Y21S"/>
    <m/>
    <s v="103441"/>
    <m/>
    <s v="FLCRG VIV Y21 2021/Y21A/Y21T 2022/Y21S/Y33S/Y33T CON T/C+MIC+HF (MAC+)"/>
    <m/>
    <n v="27000"/>
    <m/>
    <n v="1"/>
    <m/>
    <n v="45000"/>
    <m/>
    <n v="45000"/>
    <m/>
    <m/>
    <m/>
    <s v="N/A"/>
  </r>
  <r>
    <m/>
    <x v="9"/>
    <m/>
    <s v="MF-FP.24883"/>
    <m/>
    <s v="MF-ST.22386"/>
    <m/>
    <d v="2026-05-03T00:00:00"/>
    <m/>
    <s v="Umum"/>
    <m/>
    <s v="C.13142"/>
    <m/>
    <s v="SARAH"/>
    <m/>
    <s v="Achmad Indrawanto"/>
    <m/>
    <s v="SERVICE HANDPHONE"/>
    <m/>
    <x v="2"/>
    <m/>
    <s v="ARI MARWAN"/>
    <m/>
    <x v="0"/>
    <m/>
    <s v="Achmad Indrawanto"/>
    <m/>
    <s v="FLEXIBEL CHARGER (PAPAN KONEKTOR)"/>
    <m/>
    <s v="VIVO"/>
    <m/>
    <s v="Y21S"/>
    <m/>
    <s v="104780"/>
    <m/>
    <s v="ROBOT DATA CABLE RBM100 II COLOURFULL TOPLES"/>
    <m/>
    <n v="6236.8288540000003"/>
    <m/>
    <n v="1"/>
    <m/>
    <n v="15000"/>
    <m/>
    <n v="15000"/>
    <m/>
    <m/>
    <m/>
    <s v="N/A"/>
  </r>
  <r>
    <m/>
    <x v="9"/>
    <m/>
    <s v="MF-FP.24885"/>
    <m/>
    <s v="MF-ST.22387"/>
    <m/>
    <d v="2026-05-03T00:00:00"/>
    <m/>
    <s v="Member Reguler"/>
    <m/>
    <s v="C.07465"/>
    <m/>
    <s v="RIZAL"/>
    <m/>
    <s v="Achmad Indrawanto"/>
    <m/>
    <s v="SERVICE HANDPHONE"/>
    <m/>
    <x v="0"/>
    <m/>
    <s v="ARI MARWAN"/>
    <m/>
    <x v="0"/>
    <m/>
    <s v="Achmad Indrawanto"/>
    <m/>
    <s v="LCD"/>
    <m/>
    <s v="OPPO"/>
    <m/>
    <s v="Oppo Reno 4"/>
    <m/>
    <s v="JASA71"/>
    <m/>
    <s v="JASA REPAIR"/>
    <m/>
    <n v="0"/>
    <m/>
    <n v="1"/>
    <m/>
    <n v="250000"/>
    <m/>
    <n v="250000"/>
    <m/>
    <s v="Achmad Indrawanto"/>
    <m/>
    <s v="N/A"/>
  </r>
  <r>
    <m/>
    <x v="9"/>
    <m/>
    <s v="MF-FP.24884"/>
    <m/>
    <s v="MF-ST.22389"/>
    <m/>
    <d v="2026-05-03T00:00:00"/>
    <m/>
    <s v="Member Reguler"/>
    <m/>
    <s v="C.13165"/>
    <m/>
    <s v="ANGGI WIANI PUTRI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4966"/>
    <m/>
    <s v="BROOKLYN TPGS. IPH 15 VER 2 CLEAR"/>
    <m/>
    <n v="81900"/>
    <m/>
    <n v="1"/>
    <m/>
    <n v="140000"/>
    <m/>
    <n v="140000"/>
    <m/>
    <s v="Achmad Indrawanto"/>
    <m/>
    <s v="N/A"/>
  </r>
  <r>
    <m/>
    <x v="9"/>
    <m/>
    <s v="MF-FP.24886"/>
    <m/>
    <s v="MF-ST.22390"/>
    <m/>
    <d v="2026-05-03T00:00:00"/>
    <m/>
    <s v="Member Reguler"/>
    <m/>
    <s v="C.02721"/>
    <m/>
    <s v="DADAN RAMDANI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3844"/>
    <m/>
    <s v="REBORN HEADSET JACK TYPE C BASS AUDIO 120CM B/W RE-02C"/>
    <m/>
    <n v="30000"/>
    <m/>
    <n v="1"/>
    <m/>
    <n v="65000"/>
    <m/>
    <n v="65000"/>
    <m/>
    <s v="Achmad Indrawanto"/>
    <m/>
    <s v="N/A"/>
  </r>
  <r>
    <m/>
    <x v="9"/>
    <m/>
    <s v="MF-FP.24885"/>
    <m/>
    <s v="MF-ST.22387"/>
    <m/>
    <d v="2026-05-03T00:00:00"/>
    <m/>
    <s v="Member Reguler"/>
    <m/>
    <s v="C.07465"/>
    <m/>
    <s v="RIZAL"/>
    <m/>
    <s v="Achmad Indrawanto"/>
    <m/>
    <s v="SERVICE HANDPHONE"/>
    <m/>
    <x v="1"/>
    <m/>
    <s v="ARI MARWAN"/>
    <m/>
    <x v="0"/>
    <m/>
    <s v="Achmad Indrawanto"/>
    <m/>
    <s v="LCD"/>
    <m/>
    <s v="OPPO"/>
    <m/>
    <s v="Oppo Reno 4"/>
    <m/>
    <s v="102602"/>
    <m/>
    <s v="LCD.. OPP RENO 4 / RENO 4F / RENO 4 LITE / OPPO A93 4G / OPP F17 PRO B"/>
    <m/>
    <n v="159579.117302"/>
    <m/>
    <n v="1"/>
    <m/>
    <n v="200000"/>
    <m/>
    <n v="200000"/>
    <m/>
    <s v="Achmad Indrawanto"/>
    <m/>
    <s v="N/A"/>
  </r>
  <r>
    <m/>
    <x v="9"/>
    <m/>
    <s v="MF-FP.24885"/>
    <m/>
    <s v="MF-ST.22387"/>
    <m/>
    <d v="2026-05-03T00:00:00"/>
    <m/>
    <s v="Member Reguler"/>
    <m/>
    <s v="C.07465"/>
    <m/>
    <s v="RIZAL"/>
    <m/>
    <s v="Achmad Indrawanto"/>
    <m/>
    <s v="SERVICE HANDPHONE"/>
    <m/>
    <x v="2"/>
    <m/>
    <s v="ARI MARWAN"/>
    <m/>
    <x v="0"/>
    <m/>
    <s v="Achmad Indrawanto"/>
    <m/>
    <s v="LCD"/>
    <m/>
    <s v="OPPO"/>
    <m/>
    <s v="Oppo Reno 4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9"/>
    <m/>
    <s v="MF-FP.24888"/>
    <m/>
    <s v="MF-ST.22393"/>
    <m/>
    <d v="2026-05-03T00:00:00"/>
    <m/>
    <s v="Member Reguler"/>
    <m/>
    <s v="C.13167"/>
    <m/>
    <s v="M. IKHWANUL KARIM"/>
    <m/>
    <s v="Achmad Indrawanto"/>
    <m/>
    <s v="PENJUALAN AKSESORIS"/>
    <m/>
    <x v="1"/>
    <m/>
    <s v="N/A"/>
    <m/>
    <x v="5"/>
    <m/>
    <s v="Achmad Indrawanto"/>
    <m/>
    <s v="N/A"/>
    <m/>
    <s v="BELUM ADA MERK"/>
    <m/>
    <s v="N/A"/>
    <m/>
    <s v="103634"/>
    <m/>
    <s v="ADPTR LPT HP 19.5V-2.31A 45W (BLUE PIN 4.5*3.0MM)"/>
    <m/>
    <n v="75897.260274"/>
    <m/>
    <n v="1"/>
    <m/>
    <n v="250000"/>
    <m/>
    <n v="250000"/>
    <m/>
    <s v="Achmad Indrawanto"/>
    <m/>
    <s v="N/A"/>
  </r>
  <r>
    <m/>
    <x v="9"/>
    <m/>
    <s v="MF-FP.24887"/>
    <m/>
    <s v="MF-ST.22392"/>
    <m/>
    <d v="2026-05-03T00:00:00"/>
    <m/>
    <s v="Member Reguler"/>
    <m/>
    <s v="C.06527"/>
    <m/>
    <s v="Prayogo"/>
    <m/>
    <s v="Achmad Indrawanto"/>
    <m/>
    <s v="SERVICE HANDPHONE"/>
    <m/>
    <x v="0"/>
    <m/>
    <s v="ARI MARWAN"/>
    <m/>
    <x v="0"/>
    <m/>
    <s v="Achmad Indrawanto"/>
    <m/>
    <s v="LCD"/>
    <m/>
    <s v="INFINIX"/>
    <m/>
    <s v="HOT 10"/>
    <m/>
    <s v="JASA71"/>
    <m/>
    <s v="JASA REPAIR"/>
    <m/>
    <n v="0"/>
    <m/>
    <n v="1"/>
    <m/>
    <n v="230000"/>
    <m/>
    <n v="230000"/>
    <m/>
    <m/>
    <m/>
    <s v="N/A"/>
  </r>
  <r>
    <m/>
    <x v="9"/>
    <m/>
    <s v="MF-FP.24887"/>
    <m/>
    <s v="MF-ST.22392"/>
    <m/>
    <d v="2026-05-03T00:00:00"/>
    <m/>
    <s v="Member Reguler"/>
    <m/>
    <s v="C.06527"/>
    <m/>
    <s v="Prayogo"/>
    <m/>
    <s v="Achmad Indrawanto"/>
    <m/>
    <s v="SERVICE HANDPHONE"/>
    <m/>
    <x v="1"/>
    <m/>
    <s v="ARI MARWAN"/>
    <m/>
    <x v="0"/>
    <m/>
    <s v="Achmad Indrawanto"/>
    <m/>
    <s v="LCD"/>
    <m/>
    <s v="INFINIX"/>
    <m/>
    <s v="HOT 10"/>
    <m/>
    <s v="100313"/>
    <m/>
    <s v="LCD.. INF HOT 10/NOTE 8i X682 X683 B"/>
    <m/>
    <n v="146750"/>
    <m/>
    <n v="1"/>
    <m/>
    <n v="195000"/>
    <m/>
    <n v="195000"/>
    <m/>
    <m/>
    <m/>
    <s v="N/A"/>
  </r>
  <r>
    <m/>
    <x v="9"/>
    <m/>
    <s v="MF-FP.24887"/>
    <m/>
    <s v="MF-ST.22392"/>
    <m/>
    <d v="2026-05-03T00:00:00"/>
    <m/>
    <s v="Member Reguler"/>
    <m/>
    <s v="C.06527"/>
    <m/>
    <s v="Prayogo"/>
    <m/>
    <s v="Achmad Indrawanto"/>
    <m/>
    <s v="SERVICE HANDPHONE"/>
    <m/>
    <x v="2"/>
    <m/>
    <s v="ARI MARWAN"/>
    <m/>
    <x v="0"/>
    <m/>
    <s v="Achmad Indrawanto"/>
    <m/>
    <s v="LCD"/>
    <m/>
    <s v="INFINIX"/>
    <m/>
    <s v="HOT 10"/>
    <m/>
    <s v="AKOR-014"/>
    <m/>
    <s v="ORAIMO CABLE TYPE-C 2A OCD-114C"/>
    <m/>
    <n v="15000"/>
    <m/>
    <n v="1"/>
    <m/>
    <n v="25000"/>
    <m/>
    <n v="25000"/>
    <m/>
    <m/>
    <m/>
    <s v="N/A"/>
  </r>
  <r>
    <m/>
    <x v="9"/>
    <m/>
    <s v="MF-FP.24889"/>
    <m/>
    <s v="MF-ST.22394"/>
    <m/>
    <d v="2026-05-03T00:00:00"/>
    <m/>
    <s v="Member Reguler"/>
    <m/>
    <s v="C.13167"/>
    <m/>
    <s v="M. IKHWANUL KARIM"/>
    <m/>
    <s v="Achmad Indrawanto"/>
    <m/>
    <s v="SERVICE LAPTOP"/>
    <m/>
    <x v="2"/>
    <m/>
    <s v="ABDUL MUNAJAT"/>
    <m/>
    <x v="3"/>
    <m/>
    <s v="Achmad Indrawanto"/>
    <m/>
    <s v="SOFTWARE"/>
    <m/>
    <s v="HP"/>
    <m/>
    <s v="HP 14s"/>
    <m/>
    <s v="104160"/>
    <m/>
    <s v="ROBOT CHARGER RT-K10 W TOPLES"/>
    <m/>
    <n v="12843.814992"/>
    <m/>
    <n v="1"/>
    <m/>
    <n v="30000"/>
    <m/>
    <n v="30000"/>
    <m/>
    <s v="Achmad Indrawanto"/>
    <m/>
    <s v="N/A"/>
  </r>
  <r>
    <m/>
    <x v="9"/>
    <m/>
    <s v="MF-FP.24889"/>
    <m/>
    <s v="MF-ST.22394"/>
    <m/>
    <d v="2026-05-03T00:00:00"/>
    <m/>
    <s v="Member Reguler"/>
    <m/>
    <s v="C.13167"/>
    <m/>
    <s v="M. IKHWANUL KARIM"/>
    <m/>
    <s v="Achmad Indrawanto"/>
    <m/>
    <s v="SERVICE LAPTOP"/>
    <m/>
    <x v="0"/>
    <m/>
    <s v="ABDUL MUNAJAT"/>
    <m/>
    <x v="3"/>
    <m/>
    <s v="Achmad Indrawanto"/>
    <m/>
    <s v="SOFTWARE"/>
    <m/>
    <s v="HP"/>
    <m/>
    <s v="HP 14s"/>
    <m/>
    <s v="JASA71"/>
    <m/>
    <s v="JASA REPAIR"/>
    <m/>
    <n v="0"/>
    <m/>
    <n v="1"/>
    <m/>
    <n v="220000"/>
    <m/>
    <n v="220000"/>
    <m/>
    <s v="Achmad Indrawanto"/>
    <m/>
    <s v="N/A"/>
  </r>
  <r>
    <m/>
    <x v="9"/>
    <m/>
    <s v="MF-FP.24890"/>
    <m/>
    <s v="MF-ST.22395"/>
    <m/>
    <d v="2026-05-03T00:00:00"/>
    <m/>
    <s v="Member Reguler"/>
    <m/>
    <s v="C.07465"/>
    <m/>
    <s v="RIZAL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0024"/>
    <m/>
    <s v="VIVAN HYDROGEL BASIC ANTI GLARE VSP03T"/>
    <m/>
    <n v="28380.161100000001"/>
    <m/>
    <n v="2"/>
    <m/>
    <n v="75000"/>
    <m/>
    <n v="150000"/>
    <m/>
    <s v="Achmad Indrawanto"/>
    <m/>
    <s v="N/A"/>
  </r>
  <r>
    <m/>
    <x v="9"/>
    <m/>
    <s v="MF-FP.24891"/>
    <m/>
    <s v="MF-ST.22396"/>
    <m/>
    <d v="2026-05-03T00:00:00"/>
    <m/>
    <s v="Member Reguler"/>
    <m/>
    <s v="C.13168"/>
    <m/>
    <s v="IBNU"/>
    <m/>
    <s v="Achmad Indrawanto"/>
    <m/>
    <s v="SERVICE HANDPHONE"/>
    <m/>
    <x v="0"/>
    <m/>
    <s v="YUVI NOFERIANTO"/>
    <m/>
    <x v="4"/>
    <m/>
    <s v="Achmad Indrawanto"/>
    <m/>
    <s v="REPAIR"/>
    <m/>
    <s v="REALME"/>
    <m/>
    <s v="REALME"/>
    <m/>
    <s v="JASA71"/>
    <m/>
    <s v="JASA REPAIR"/>
    <m/>
    <n v="0"/>
    <m/>
    <n v="1"/>
    <m/>
    <n v="75000"/>
    <m/>
    <n v="75000"/>
    <m/>
    <s v="Achmad Indrawanto"/>
    <m/>
    <s v="N/A"/>
  </r>
  <r>
    <m/>
    <x v="9"/>
    <m/>
    <s v="MF-FP.24891"/>
    <m/>
    <s v="MF-ST.22396"/>
    <m/>
    <d v="2026-05-03T00:00:00"/>
    <m/>
    <s v="Member Reguler"/>
    <m/>
    <s v="C.13168"/>
    <m/>
    <s v="IBNU"/>
    <m/>
    <s v="Achmad Indrawanto"/>
    <m/>
    <s v="SERVICE HANDPHONE"/>
    <m/>
    <x v="2"/>
    <m/>
    <s v="YUVI NOFERIANTO"/>
    <m/>
    <x v="4"/>
    <m/>
    <s v="Achmad Indrawanto"/>
    <m/>
    <s v="REPAIR"/>
    <m/>
    <s v="REALME"/>
    <m/>
    <s v="REALME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9"/>
    <m/>
    <s v="MF-FP.24893"/>
    <m/>
    <s v="MF-ST.22398"/>
    <m/>
    <d v="2026-05-03T00:00:00"/>
    <m/>
    <s v="Member Reguler"/>
    <m/>
    <s v="MJ01"/>
    <m/>
    <s v="UMUM"/>
    <m/>
    <s v="Achmad Indrawanto"/>
    <m/>
    <s v="SERVICE HANDPHONE"/>
    <m/>
    <x v="0"/>
    <m/>
    <s v="ARI MARWAN"/>
    <m/>
    <x v="0"/>
    <m/>
    <s v="Achmad Indrawanto"/>
    <m/>
    <s v="REPAIR"/>
    <m/>
    <s v="BELUM ADA MERK"/>
    <m/>
    <s v="N/A"/>
    <m/>
    <s v="JASA71"/>
    <m/>
    <s v="JASA REPAIR"/>
    <m/>
    <n v="0"/>
    <m/>
    <n v="1"/>
    <m/>
    <n v="10000"/>
    <m/>
    <n v="10000"/>
    <m/>
    <m/>
    <m/>
    <s v="N/A"/>
  </r>
  <r>
    <m/>
    <x v="9"/>
    <m/>
    <s v="MF-FP.24893"/>
    <m/>
    <s v="MF-ST.22398"/>
    <m/>
    <d v="2026-05-03T00:00:00"/>
    <m/>
    <s v="Member Reguler"/>
    <m/>
    <s v="MJ01"/>
    <m/>
    <s v="UMUM"/>
    <m/>
    <s v="Achmad Indrawanto"/>
    <m/>
    <s v="SERVICE HANDPHONE"/>
    <m/>
    <x v="2"/>
    <m/>
    <s v="ARI MARWAN"/>
    <m/>
    <x v="0"/>
    <m/>
    <s v="Achmad Indrawanto"/>
    <m/>
    <s v="REPAIR"/>
    <m/>
    <s v="BELUM ADA MERK"/>
    <m/>
    <s v="N/A"/>
    <m/>
    <s v="AKOR-014"/>
    <m/>
    <s v="ORAIMO CABLE TYPE-C 2A OCD-114C"/>
    <m/>
    <n v="15000"/>
    <m/>
    <n v="1"/>
    <m/>
    <n v="25000"/>
    <m/>
    <n v="25000"/>
    <m/>
    <m/>
    <m/>
    <s v="N/A"/>
  </r>
  <r>
    <m/>
    <x v="9"/>
    <m/>
    <s v="MF-FP.24894"/>
    <m/>
    <s v="MF-ST.22399"/>
    <m/>
    <d v="2026-05-03T00:00:00"/>
    <m/>
    <s v="Umum"/>
    <m/>
    <s v="C.10680"/>
    <m/>
    <s v="FAJRI"/>
    <m/>
    <s v="Achmad Indrawanto"/>
    <m/>
    <s v="SERVICE HANDPHONE"/>
    <m/>
    <x v="0"/>
    <m/>
    <s v="ARI MARWAN"/>
    <m/>
    <x v="0"/>
    <m/>
    <s v="Achmad Indrawanto"/>
    <m/>
    <s v="FLEXIBEL CHARGER (PAPAN KONEKTOR)"/>
    <m/>
    <s v="XIAOMI"/>
    <m/>
    <s v="Poco X3 NFC"/>
    <m/>
    <s v="JASA71"/>
    <m/>
    <s v="JASA REPAIR"/>
    <m/>
    <n v="0"/>
    <m/>
    <n v="1"/>
    <m/>
    <n v="180000"/>
    <m/>
    <n v="180000"/>
    <m/>
    <m/>
    <m/>
    <s v="N/A"/>
  </r>
  <r>
    <m/>
    <x v="9"/>
    <m/>
    <s v="MF-FP.24894"/>
    <m/>
    <s v="MF-ST.22399"/>
    <m/>
    <d v="2026-05-03T00:00:00"/>
    <m/>
    <s v="Umum"/>
    <m/>
    <s v="C.10680"/>
    <m/>
    <s v="FAJRI"/>
    <m/>
    <s v="Achmad Indrawanto"/>
    <m/>
    <s v="SERVICE HANDPHONE"/>
    <m/>
    <x v="1"/>
    <m/>
    <s v="ARI MARWAN"/>
    <m/>
    <x v="0"/>
    <m/>
    <s v="Achmad Indrawanto"/>
    <m/>
    <s v="FLEXIBEL CHARGER (PAPAN KONEKTOR)"/>
    <m/>
    <s v="XIAOMI"/>
    <m/>
    <s v="Poco X3 NFC"/>
    <m/>
    <s v="104627"/>
    <m/>
    <s v="FLCRG XIO POCO X3 NFC/X3 PRO"/>
    <m/>
    <n v="17193.121211999998"/>
    <m/>
    <n v="1"/>
    <m/>
    <n v="30000"/>
    <m/>
    <n v="30000"/>
    <m/>
    <m/>
    <m/>
    <s v="N/A"/>
  </r>
  <r>
    <m/>
    <x v="9"/>
    <m/>
    <s v="MF-FP.24894"/>
    <m/>
    <s v="MF-ST.22399"/>
    <m/>
    <d v="2026-05-03T00:00:00"/>
    <m/>
    <s v="Umum"/>
    <m/>
    <s v="C.10680"/>
    <m/>
    <s v="FAJRI"/>
    <m/>
    <s v="Achmad Indrawanto"/>
    <m/>
    <s v="SERVICE HANDPHONE"/>
    <m/>
    <x v="2"/>
    <m/>
    <s v="ARI MARWAN"/>
    <m/>
    <x v="0"/>
    <m/>
    <s v="Achmad Indrawanto"/>
    <m/>
    <s v="FLEXIBEL CHARGER (PAPAN KONEKTOR)"/>
    <m/>
    <s v="XIAOMI"/>
    <m/>
    <s v="Poco X3 NFC"/>
    <m/>
    <s v="AKOR-014"/>
    <m/>
    <s v="ORAIMO CABLE TYPE-C 2A OCD-114C"/>
    <m/>
    <n v="15000"/>
    <m/>
    <n v="1"/>
    <m/>
    <n v="25000"/>
    <m/>
    <n v="25000"/>
    <m/>
    <m/>
    <m/>
    <s v="N/A"/>
  </r>
  <r>
    <m/>
    <x v="9"/>
    <m/>
    <s v="MF-FP.24896"/>
    <m/>
    <s v="MF-ST.22364"/>
    <m/>
    <d v="2026-05-02T00:00:00"/>
    <m/>
    <s v="Member Reguler"/>
    <m/>
    <s v="C.12280"/>
    <m/>
    <s v="GINA"/>
    <m/>
    <s v="Achmad Indrawanto"/>
    <m/>
    <s v="SERVICE HANDPHONE"/>
    <m/>
    <x v="0"/>
    <m/>
    <s v="ARI MARWAN"/>
    <m/>
    <x v="0"/>
    <m/>
    <s v="HANIF"/>
    <m/>
    <s v="SOFTWARE"/>
    <m/>
    <s v="APPLE"/>
    <m/>
    <s v="Iphone 7 plus"/>
    <m/>
    <s v="JASA71"/>
    <m/>
    <s v="JASA REPAIR"/>
    <m/>
    <n v="0"/>
    <m/>
    <n v="1"/>
    <m/>
    <n v="150000"/>
    <m/>
    <n v="150000"/>
    <m/>
    <s v="Achmad Indrawanto"/>
    <m/>
    <s v="N/A"/>
  </r>
  <r>
    <m/>
    <x v="9"/>
    <m/>
    <s v="MF-FP.24896"/>
    <m/>
    <s v="MF-ST.22364"/>
    <m/>
    <d v="2026-05-02T00:00:00"/>
    <m/>
    <s v="Member Reguler"/>
    <m/>
    <s v="C.12280"/>
    <m/>
    <s v="GINA"/>
    <m/>
    <s v="Achmad Indrawanto"/>
    <m/>
    <s v="SERVICE HANDPHONE"/>
    <m/>
    <x v="1"/>
    <m/>
    <s v="ARI MARWAN"/>
    <m/>
    <x v="0"/>
    <m/>
    <s v="HANIF"/>
    <m/>
    <s v="SOFTWARE"/>
    <m/>
    <s v="APPLE"/>
    <m/>
    <s v="Iphone 7 plus"/>
    <m/>
    <s v="107240"/>
    <m/>
    <s v="REMOTE IPH 7 PLUS"/>
    <m/>
    <n v="100000"/>
    <m/>
    <n v="1"/>
    <m/>
    <n v="130000"/>
    <m/>
    <n v="130000"/>
    <m/>
    <s v="Achmad Indrawanto"/>
    <m/>
    <s v="N/A"/>
  </r>
  <r>
    <m/>
    <x v="9"/>
    <m/>
    <s v="MF-FP.24896"/>
    <m/>
    <s v="MF-ST.22364"/>
    <m/>
    <d v="2026-05-02T00:00:00"/>
    <m/>
    <s v="Member Reguler"/>
    <m/>
    <s v="C.12280"/>
    <m/>
    <s v="GINA"/>
    <m/>
    <s v="Achmad Indrawanto"/>
    <m/>
    <s v="SERVICE HANDPHONE"/>
    <m/>
    <x v="2"/>
    <m/>
    <s v="ARI MARWAN"/>
    <m/>
    <x v="0"/>
    <m/>
    <s v="HANIF"/>
    <m/>
    <s v="SOFTWARE"/>
    <m/>
    <s v="APPLE"/>
    <m/>
    <s v="Iphone 7 plus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9"/>
    <m/>
    <s v="MF-FP.24892"/>
    <m/>
    <s v="MF-ST.22397"/>
    <m/>
    <d v="2026-05-03T00:00:00"/>
    <m/>
    <s v="Member Reguler"/>
    <m/>
    <s v="MJ01"/>
    <m/>
    <s v="UMUM"/>
    <m/>
    <s v="Achmad Indrawanto"/>
    <m/>
    <s v="SERVICE HANDPHONE"/>
    <m/>
    <x v="0"/>
    <m/>
    <s v="ARI MARWAN"/>
    <m/>
    <x v="0"/>
    <m/>
    <s v="Achmad Indrawanto"/>
    <m/>
    <s v="REPAIR"/>
    <m/>
    <s v="BELUM ADA MERK"/>
    <m/>
    <s v="bel"/>
    <m/>
    <s v="JASA71"/>
    <m/>
    <s v="JASA REPAIR"/>
    <m/>
    <n v="0"/>
    <m/>
    <n v="1"/>
    <m/>
    <n v="25000"/>
    <m/>
    <n v="25000"/>
    <m/>
    <m/>
    <m/>
    <s v="N/A"/>
  </r>
  <r>
    <m/>
    <x v="9"/>
    <m/>
    <s v="MF-FP.24895"/>
    <m/>
    <s v="MF-ST.22400"/>
    <m/>
    <d v="2026-05-03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6963"/>
    <m/>
    <s v="EAGET ENCLOSURE E15"/>
    <m/>
    <n v="46428.571429000003"/>
    <m/>
    <n v="1"/>
    <m/>
    <n v="150000"/>
    <m/>
    <n v="150000"/>
    <m/>
    <m/>
    <m/>
    <s v="N/A"/>
  </r>
  <r>
    <m/>
    <x v="9"/>
    <m/>
    <s v="MF-FP.24897"/>
    <m/>
    <s v="MF-ST.22401"/>
    <m/>
    <d v="2026-05-03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5758"/>
    <m/>
    <s v="VGEN FLASHDISK USB 2.0 AVATAR 16GB"/>
    <m/>
    <n v="68754.530478000001"/>
    <m/>
    <n v="1"/>
    <m/>
    <n v="90000"/>
    <m/>
    <n v="90000"/>
    <m/>
    <m/>
    <m/>
    <s v="N/A"/>
  </r>
  <r>
    <m/>
    <x v="9"/>
    <m/>
    <s v="MF-FP.24898"/>
    <m/>
    <s v="MF-ST.22371"/>
    <m/>
    <d v="2026-05-02T00:00:00"/>
    <m/>
    <s v="Member Reguler"/>
    <m/>
    <s v="C.13156"/>
    <m/>
    <s v="FANIA"/>
    <m/>
    <s v="Achmad Indrawanto"/>
    <m/>
    <s v="SERVICE HANDPHONE"/>
    <m/>
    <x v="0"/>
    <m/>
    <s v="ARI MARWAN"/>
    <m/>
    <x v="0"/>
    <m/>
    <s v="HANIF"/>
    <m/>
    <s v="MATI TOTAL"/>
    <m/>
    <s v="APPLE"/>
    <m/>
    <s v="Iphone 12 PM"/>
    <m/>
    <s v="JASA71"/>
    <m/>
    <s v="JASA REPAIR"/>
    <m/>
    <n v="0"/>
    <m/>
    <n v="1"/>
    <m/>
    <n v="80000"/>
    <m/>
    <n v="80000"/>
    <m/>
    <s v="Achmad Indrawanto"/>
    <m/>
    <s v="N/A"/>
  </r>
  <r>
    <m/>
    <x v="9"/>
    <m/>
    <s v="MF-FP.24898"/>
    <m/>
    <s v="MF-ST.22371"/>
    <m/>
    <d v="2026-05-02T00:00:00"/>
    <m/>
    <s v="Member Reguler"/>
    <m/>
    <s v="C.13156"/>
    <m/>
    <s v="FANIA"/>
    <m/>
    <s v="Achmad Indrawanto"/>
    <m/>
    <s v="SERVICE HANDPHONE"/>
    <m/>
    <x v="2"/>
    <m/>
    <s v="ARI MARWAN"/>
    <m/>
    <x v="0"/>
    <m/>
    <s v="HANIF"/>
    <m/>
    <s v="MATI TOTAL"/>
    <m/>
    <s v="APPLE"/>
    <m/>
    <s v="Iphone 12 PM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9"/>
    <m/>
    <s v="MF-FP.24902"/>
    <m/>
    <s v="MF-ST.22336"/>
    <m/>
    <d v="2026-05-01T00:00:00"/>
    <m/>
    <s v="Member Reguler"/>
    <m/>
    <s v="MR104906"/>
    <m/>
    <s v="MUHAMMAD ZAINUDIN"/>
    <m/>
    <s v="WAHYU PRATAMA"/>
    <m/>
    <s v="SERVICE LAPTOP"/>
    <m/>
    <x v="0"/>
    <m/>
    <s v="ABDUL MUNAJAT"/>
    <m/>
    <x v="3"/>
    <m/>
    <s v="HANIF"/>
    <m/>
    <s v="BATERAI"/>
    <m/>
    <s v="ASUS"/>
    <m/>
    <s v="Asus A450C"/>
    <m/>
    <s v="JASA71"/>
    <m/>
    <s v="JASA REPAIR"/>
    <m/>
    <n v="0"/>
    <m/>
    <n v="1"/>
    <m/>
    <n v="670000"/>
    <m/>
    <n v="670000"/>
    <m/>
    <m/>
    <m/>
    <s v="N/A"/>
  </r>
  <r>
    <m/>
    <x v="9"/>
    <m/>
    <s v="MF-FP.24902"/>
    <m/>
    <s v="MF-ST.22336"/>
    <m/>
    <d v="2026-05-01T00:00:00"/>
    <m/>
    <s v="Member Reguler"/>
    <m/>
    <s v="MR104906"/>
    <m/>
    <s v="MUHAMMAD ZAINUDIN"/>
    <m/>
    <s v="WAHYU PRATAMA"/>
    <m/>
    <s v="SERVICE LAPTOP"/>
    <m/>
    <x v="1"/>
    <m/>
    <s v="ABDUL MUNAJAT"/>
    <m/>
    <x v="3"/>
    <m/>
    <s v="HANIF"/>
    <m/>
    <s v="BATERAI"/>
    <m/>
    <s v="ASUS"/>
    <m/>
    <s v="Asus A450C"/>
    <m/>
    <s v="101496"/>
    <m/>
    <s v="BATER LPT ASS X450 X550A X550i A450C"/>
    <m/>
    <n v="196000"/>
    <m/>
    <n v="1"/>
    <m/>
    <n v="260000"/>
    <m/>
    <n v="260000"/>
    <m/>
    <m/>
    <m/>
    <s v="N/A"/>
  </r>
  <r>
    <m/>
    <x v="9"/>
    <m/>
    <s v="MF-FP.24902"/>
    <m/>
    <s v="MF-ST.22336"/>
    <m/>
    <d v="2026-05-01T00:00:00"/>
    <m/>
    <s v="Member Reguler"/>
    <m/>
    <s v="MR104906"/>
    <m/>
    <s v="MUHAMMAD ZAINUDIN"/>
    <m/>
    <s v="WAHYU PRATAMA"/>
    <m/>
    <s v="SERVICE LAPTOP"/>
    <m/>
    <x v="2"/>
    <m/>
    <s v="ABDUL MUNAJAT"/>
    <m/>
    <x v="3"/>
    <m/>
    <s v="HANIF"/>
    <m/>
    <s v="BATERAI"/>
    <m/>
    <s v="ASUS"/>
    <m/>
    <s v="Asus A450C"/>
    <m/>
    <s v="AKOR-014"/>
    <m/>
    <s v="ORAIMO CABLE TYPE-C 2A OCD-114C"/>
    <m/>
    <n v="15000"/>
    <m/>
    <n v="1"/>
    <m/>
    <n v="20000"/>
    <m/>
    <n v="20000"/>
    <m/>
    <m/>
    <m/>
    <s v="N/A"/>
  </r>
  <r>
    <m/>
    <x v="9"/>
    <m/>
    <s v="MF-FP.24899"/>
    <m/>
    <s v="MF-ST.22383"/>
    <m/>
    <d v="2026-05-03T00:00:00"/>
    <m/>
    <s v="Member Reguler"/>
    <m/>
    <s v="C.13163"/>
    <m/>
    <s v="RADEN RORO NIKEN"/>
    <m/>
    <s v="Achmad Indrawanto"/>
    <m/>
    <s v="SERVICE HANDPHONE"/>
    <m/>
    <x v="0"/>
    <m/>
    <s v="ARI MARWAN"/>
    <m/>
    <x v="0"/>
    <m/>
    <s v="HANIF"/>
    <m/>
    <s v="LCD"/>
    <m/>
    <s v="SAMSUNG"/>
    <m/>
    <s v="Samsung A23 4G"/>
    <m/>
    <s v="JASA71"/>
    <m/>
    <s v="JASA REPAIR"/>
    <m/>
    <n v="0"/>
    <m/>
    <n v="1"/>
    <m/>
    <n v="475000"/>
    <m/>
    <n v="475000"/>
    <m/>
    <s v="Achmad Indrawanto"/>
    <m/>
    <s v="N/A"/>
  </r>
  <r>
    <m/>
    <x v="9"/>
    <m/>
    <s v="MF-FP.24899"/>
    <m/>
    <s v="MF-ST.22383"/>
    <m/>
    <d v="2026-05-03T00:00:00"/>
    <m/>
    <s v="Member Reguler"/>
    <m/>
    <s v="C.13163"/>
    <m/>
    <s v="RADEN RORO NIKEN"/>
    <m/>
    <s v="Achmad Indrawanto"/>
    <m/>
    <s v="SERVICE HANDPHONE"/>
    <m/>
    <x v="1"/>
    <m/>
    <s v="ARI MARWAN"/>
    <m/>
    <x v="0"/>
    <m/>
    <s v="HANIF"/>
    <m/>
    <s v="LCD"/>
    <m/>
    <s v="SAMSUNG"/>
    <m/>
    <s v="Samsung A23 4G"/>
    <m/>
    <s v="100169"/>
    <m/>
    <s v="LCD.. SAM A23 4G/A13 4G/M23 5G/M33 5G B"/>
    <m/>
    <n v="142639.09022099999"/>
    <m/>
    <n v="1"/>
    <m/>
    <n v="200000"/>
    <m/>
    <n v="200000"/>
    <m/>
    <s v="Achmad Indrawanto"/>
    <m/>
    <s v="N/A"/>
  </r>
  <r>
    <m/>
    <x v="9"/>
    <m/>
    <s v="MF-FP.24899"/>
    <m/>
    <s v="MF-ST.22383"/>
    <m/>
    <d v="2026-05-03T00:00:00"/>
    <m/>
    <s v="Member Reguler"/>
    <m/>
    <s v="C.13163"/>
    <m/>
    <s v="RADEN RORO NIKEN"/>
    <m/>
    <s v="Achmad Indrawanto"/>
    <m/>
    <s v="SERVICE HANDPHONE"/>
    <m/>
    <x v="1"/>
    <m/>
    <s v="ARI MARWAN"/>
    <m/>
    <x v="0"/>
    <m/>
    <s v="HANIF"/>
    <m/>
    <s v="LCD"/>
    <m/>
    <s v="SAMSUNG"/>
    <m/>
    <s v="Samsung A23 4G"/>
    <m/>
    <s v="106495"/>
    <m/>
    <s v="BATER SAM A23 EB-BM526ABY"/>
    <m/>
    <n v="91000"/>
    <m/>
    <n v="1"/>
    <m/>
    <n v="130000"/>
    <m/>
    <n v="130000"/>
    <m/>
    <s v="Achmad Indrawanto"/>
    <m/>
    <s v="N/A"/>
  </r>
  <r>
    <m/>
    <x v="9"/>
    <m/>
    <s v="MF-FP.24899"/>
    <m/>
    <s v="MF-ST.22383"/>
    <m/>
    <d v="2026-05-03T00:00:00"/>
    <m/>
    <s v="Member Reguler"/>
    <m/>
    <s v="C.13163"/>
    <m/>
    <s v="RADEN RORO NIKEN"/>
    <m/>
    <s v="Achmad Indrawanto"/>
    <m/>
    <s v="SERVICE HANDPHONE"/>
    <m/>
    <x v="2"/>
    <m/>
    <s v="ARI MARWAN"/>
    <m/>
    <x v="0"/>
    <m/>
    <s v="HANIF"/>
    <m/>
    <s v="LCD"/>
    <m/>
    <s v="SAMSUNG"/>
    <m/>
    <s v="Samsung A23 4G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9"/>
    <m/>
    <s v="MF-FP.24900"/>
    <m/>
    <s v="MF-ST.22403"/>
    <m/>
    <d v="2026-05-03T00:00:00"/>
    <m/>
    <s v="Member Reguler"/>
    <m/>
    <s v="MJ2781"/>
    <m/>
    <s v="FACHRI FAISAL, SE., Ak"/>
    <m/>
    <s v="HANIF"/>
    <m/>
    <s v="SERVICE HANDPHONE"/>
    <m/>
    <x v="0"/>
    <m/>
    <s v="ARI MARWAN"/>
    <m/>
    <x v="0"/>
    <m/>
    <s v="HANIF"/>
    <m/>
    <s v="LCD"/>
    <m/>
    <s v="OPPO"/>
    <m/>
    <s v="Reno 13F"/>
    <m/>
    <s v="JASA71"/>
    <m/>
    <s v="JASA REPAIR"/>
    <m/>
    <n v="0"/>
    <m/>
    <n v="1"/>
    <m/>
    <n v="1180000"/>
    <m/>
    <n v="1180000"/>
    <m/>
    <s v="CHANDRA PRADITYA GUNAWAN"/>
    <m/>
    <s v="N/A"/>
  </r>
  <r>
    <m/>
    <x v="9"/>
    <m/>
    <s v="MF-FP.24900"/>
    <m/>
    <s v="MF-ST.22403"/>
    <m/>
    <d v="2026-05-03T00:00:00"/>
    <m/>
    <s v="Member Reguler"/>
    <m/>
    <s v="MJ2781"/>
    <m/>
    <s v="FACHRI FAISAL, SE., Ak"/>
    <m/>
    <s v="HANIF"/>
    <m/>
    <s v="SERVICE HANDPHONE"/>
    <m/>
    <x v="2"/>
    <m/>
    <s v="ARI MARWAN"/>
    <m/>
    <x v="0"/>
    <m/>
    <s v="HANIF"/>
    <m/>
    <s v="LCD"/>
    <m/>
    <s v="OPPO"/>
    <m/>
    <s v="Reno 13F"/>
    <m/>
    <s v="AKOR-014"/>
    <m/>
    <s v="ORAIMO CABLE TYPE-C 2A OCD-114C"/>
    <m/>
    <n v="15000"/>
    <m/>
    <n v="1"/>
    <m/>
    <n v="20000"/>
    <m/>
    <n v="20000"/>
    <m/>
    <s v="CHANDRA PRADITYA GUNAWAN"/>
    <m/>
    <s v="N/A"/>
  </r>
  <r>
    <m/>
    <x v="9"/>
    <m/>
    <s v="MF-FP.24901"/>
    <m/>
    <s v="MF-ST.22404"/>
    <m/>
    <d v="2026-05-03T00:00:00"/>
    <m/>
    <s v="Member Reguler"/>
    <m/>
    <s v="C.13170"/>
    <m/>
    <s v="TEGAR"/>
    <m/>
    <s v="HANIF"/>
    <m/>
    <s v="SERVICE HANDPHONE"/>
    <m/>
    <x v="0"/>
    <m/>
    <s v="YUVI NOFERIANTO"/>
    <m/>
    <x v="4"/>
    <m/>
    <s v="HANIF"/>
    <m/>
    <s v="FLEXIBEL ON/OFF"/>
    <m/>
    <s v="XIAOMI"/>
    <m/>
    <s v="Mi 10pro 5g"/>
    <m/>
    <s v="JASA71"/>
    <m/>
    <s v="JASA REPAIR"/>
    <m/>
    <n v="0"/>
    <m/>
    <n v="1"/>
    <m/>
    <n v="85000"/>
    <m/>
    <n v="85000"/>
    <m/>
    <s v="HANIF"/>
    <m/>
    <s v="N/A"/>
  </r>
  <r>
    <m/>
    <x v="9"/>
    <m/>
    <s v="MF-FP.24901"/>
    <m/>
    <s v="MF-ST.22404"/>
    <m/>
    <d v="2026-05-03T00:00:00"/>
    <m/>
    <s v="Member Reguler"/>
    <m/>
    <s v="C.13170"/>
    <m/>
    <s v="TEGAR"/>
    <m/>
    <s v="HANIF"/>
    <m/>
    <s v="SERVICE HANDPHONE"/>
    <m/>
    <x v="2"/>
    <m/>
    <s v="YUVI NOFERIANTO"/>
    <m/>
    <x v="4"/>
    <m/>
    <s v="HANIF"/>
    <m/>
    <s v="FLEXIBEL ON/OFF"/>
    <m/>
    <s v="XIAOMI"/>
    <m/>
    <s v="Mi 10pro 5g"/>
    <m/>
    <s v="AKOR-014"/>
    <m/>
    <s v="ORAIMO CABLE TYPE-C 2A OCD-114C"/>
    <m/>
    <n v="15000"/>
    <m/>
    <n v="1"/>
    <m/>
    <n v="15000"/>
    <m/>
    <n v="15000"/>
    <m/>
    <s v="HANIF"/>
    <m/>
    <s v="N/A"/>
  </r>
  <r>
    <m/>
    <x v="9"/>
    <m/>
    <s v="MF-FP.24903"/>
    <m/>
    <s v="MF-ST.22405"/>
    <m/>
    <d v="2026-05-03T00:00:00"/>
    <m/>
    <s v="Umum"/>
    <m/>
    <s v="C.00000"/>
    <m/>
    <s v="Pelanggan Umum"/>
    <m/>
    <s v="HANIF"/>
    <m/>
    <s v="PENJUALAN AKSESORIS"/>
    <m/>
    <x v="1"/>
    <m/>
    <s v="N/A"/>
    <m/>
    <x v="5"/>
    <m/>
    <s v="HANIF"/>
    <m/>
    <s v="N/A"/>
    <m/>
    <s v="BELUM ADA MERK"/>
    <m/>
    <s v="N/A"/>
    <m/>
    <s v="103626"/>
    <m/>
    <s v="ADPTR LPT ASS 19V 3.42A 4.0"/>
    <m/>
    <n v="76764.702850000001"/>
    <m/>
    <n v="1"/>
    <m/>
    <n v="250000"/>
    <m/>
    <n v="250000"/>
    <m/>
    <m/>
    <m/>
    <s v="N/A"/>
  </r>
  <r>
    <m/>
    <x v="9"/>
    <m/>
    <s v="MF-FP.24904"/>
    <m/>
    <s v="MF-ST.22407"/>
    <m/>
    <d v="2026-05-03T00:00:00"/>
    <m/>
    <s v="Umum"/>
    <m/>
    <s v="C.13171"/>
    <m/>
    <s v="FARHAN"/>
    <m/>
    <s v="HANIF"/>
    <m/>
    <s v="SERVICE LAPTOP"/>
    <m/>
    <x v="0"/>
    <m/>
    <s v="ARIFIN SANTOSO JATIMULYA"/>
    <m/>
    <x v="6"/>
    <m/>
    <s v="HANIF"/>
    <m/>
    <s v="REPAIR"/>
    <m/>
    <s v="ASUS"/>
    <m/>
    <s v="Asus vivobook 14"/>
    <m/>
    <s v="JASA71"/>
    <m/>
    <s v="JASA REPAIR"/>
    <m/>
    <n v="0"/>
    <m/>
    <n v="1"/>
    <m/>
    <n v="230000"/>
    <m/>
    <n v="230000"/>
    <m/>
    <m/>
    <m/>
    <s v="N/A"/>
  </r>
  <r>
    <m/>
    <x v="9"/>
    <m/>
    <s v="MF-FP.24904"/>
    <m/>
    <s v="MF-ST.22407"/>
    <m/>
    <d v="2026-05-03T00:00:00"/>
    <m/>
    <s v="Umum"/>
    <m/>
    <s v="C.13171"/>
    <m/>
    <s v="FARHAN"/>
    <m/>
    <s v="HANIF"/>
    <m/>
    <s v="SERVICE LAPTOP"/>
    <m/>
    <x v="2"/>
    <m/>
    <s v="ARIFIN SANTOSO JATIMULYA"/>
    <m/>
    <x v="6"/>
    <m/>
    <s v="HANIF"/>
    <m/>
    <s v="REPAIR"/>
    <m/>
    <s v="ASUS"/>
    <m/>
    <s v="Asus vivobook 14"/>
    <m/>
    <s v="AKOR-014"/>
    <m/>
    <s v="ORAIMO CABLE TYPE-C 2A OCD-114C"/>
    <m/>
    <n v="15000"/>
    <m/>
    <n v="1"/>
    <m/>
    <n v="20000"/>
    <m/>
    <n v="20000"/>
    <m/>
    <m/>
    <m/>
    <s v="N/A"/>
  </r>
  <r>
    <m/>
    <x v="9"/>
    <m/>
    <s v="MF-FP.24905"/>
    <m/>
    <s v="MF-ST.22312"/>
    <m/>
    <d v="2026-04-30T00:00:00"/>
    <m/>
    <s v="Umum"/>
    <m/>
    <s v="C.00329"/>
    <m/>
    <s v="Rahmat"/>
    <m/>
    <s v="WAHYU PRATAMA"/>
    <m/>
    <s v="SERVICE HANDPHONE"/>
    <m/>
    <x v="0"/>
    <m/>
    <s v="EKO RISDIYANTORO JATIMULYA"/>
    <m/>
    <x v="2"/>
    <m/>
    <s v="HANIF"/>
    <m/>
    <s v="REPAIR"/>
    <m/>
    <s v="SAMSUNG"/>
    <m/>
    <s v="samsung tab t515"/>
    <m/>
    <s v="JASA71"/>
    <m/>
    <s v="JASA REPAIR"/>
    <m/>
    <n v="0"/>
    <m/>
    <n v="1"/>
    <m/>
    <n v="325000"/>
    <m/>
    <n v="325000"/>
    <m/>
    <m/>
    <m/>
    <s v="N/A"/>
  </r>
  <r>
    <m/>
    <x v="9"/>
    <m/>
    <s v="MF-FP.24905"/>
    <m/>
    <s v="MF-ST.22312"/>
    <m/>
    <d v="2026-04-30T00:00:00"/>
    <m/>
    <s v="Umum"/>
    <m/>
    <s v="C.00329"/>
    <m/>
    <s v="Rahmat"/>
    <m/>
    <s v="WAHYU PRATAMA"/>
    <m/>
    <s v="SERVICE HANDPHONE"/>
    <m/>
    <x v="2"/>
    <m/>
    <s v="EKO RISDIYANTORO JATIMULYA"/>
    <m/>
    <x v="2"/>
    <m/>
    <s v="HANIF"/>
    <m/>
    <s v="REPAIR"/>
    <m/>
    <s v="SAMSUNG"/>
    <m/>
    <s v="samsung tab t515"/>
    <m/>
    <s v="AKOR-014"/>
    <m/>
    <s v="ORAIMO CABLE TYPE-C 2A OCD-114C"/>
    <m/>
    <n v="15000"/>
    <m/>
    <n v="1"/>
    <m/>
    <n v="25000"/>
    <m/>
    <n v="25000"/>
    <m/>
    <m/>
    <m/>
    <s v="N/A"/>
  </r>
  <r>
    <m/>
    <x v="9"/>
    <m/>
    <s v="MF-FP.24911"/>
    <m/>
    <s v="MF-ST.22414"/>
    <m/>
    <d v="2026-05-03T00:00:00"/>
    <m/>
    <s v="Umum"/>
    <m/>
    <s v="C.13177"/>
    <m/>
    <s v="RISMA"/>
    <m/>
    <s v="HANIF"/>
    <m/>
    <s v="SERVICE LAPTOP"/>
    <m/>
    <x v="0"/>
    <m/>
    <s v="ABDUL MUNAJAT"/>
    <m/>
    <x v="3"/>
    <m/>
    <s v="HANIF"/>
    <m/>
    <s v="SOFTWARE"/>
    <m/>
    <s v="HP"/>
    <m/>
    <s v="HP 14-AM0"/>
    <m/>
    <s v="JASA71"/>
    <m/>
    <s v="JASA REPAIR"/>
    <m/>
    <n v="0"/>
    <m/>
    <n v="1"/>
    <m/>
    <n v="225000"/>
    <m/>
    <n v="225000"/>
    <m/>
    <s v="HANIF"/>
    <m/>
    <s v="N/A"/>
  </r>
  <r>
    <m/>
    <x v="9"/>
    <m/>
    <s v="MF-FP.24907"/>
    <m/>
    <s v="MF-ST.22409"/>
    <m/>
    <d v="2026-05-03T00:00:00"/>
    <m/>
    <s v="Umum"/>
    <m/>
    <s v="C.13173"/>
    <m/>
    <s v="REGA"/>
    <m/>
    <s v="HANIF"/>
    <m/>
    <s v="SERVICE HANDPHONE"/>
    <m/>
    <x v="0"/>
    <m/>
    <s v="ABDUL MUNAJAT"/>
    <m/>
    <x v="3"/>
    <m/>
    <s v="HANIF"/>
    <m/>
    <s v="REPAIR"/>
    <m/>
    <s v="LENOVO"/>
    <m/>
    <s v="Lenovo LOQ"/>
    <m/>
    <s v="JASA71"/>
    <m/>
    <s v="JASA REPAIR"/>
    <m/>
    <n v="0"/>
    <m/>
    <n v="1"/>
    <m/>
    <n v="180000"/>
    <m/>
    <n v="180000"/>
    <m/>
    <m/>
    <m/>
    <s v="N/A"/>
  </r>
  <r>
    <m/>
    <x v="9"/>
    <m/>
    <s v="MF-FP.24907"/>
    <m/>
    <s v="MF-ST.22409"/>
    <m/>
    <d v="2026-05-03T00:00:00"/>
    <m/>
    <s v="Umum"/>
    <m/>
    <s v="C.13173"/>
    <m/>
    <s v="REGA"/>
    <m/>
    <s v="HANIF"/>
    <m/>
    <s v="SERVICE HANDPHONE"/>
    <m/>
    <x v="2"/>
    <m/>
    <s v="ABDUL MUNAJAT"/>
    <m/>
    <x v="3"/>
    <m/>
    <s v="HANIF"/>
    <m/>
    <s v="REPAIR"/>
    <m/>
    <s v="LENOVO"/>
    <m/>
    <s v="Lenovo LOQ"/>
    <m/>
    <s v="AKOR-014"/>
    <m/>
    <s v="ORAIMO CABLE TYPE-C 2A OCD-114C"/>
    <m/>
    <n v="15000"/>
    <m/>
    <n v="1"/>
    <m/>
    <n v="20000"/>
    <m/>
    <n v="20000"/>
    <m/>
    <m/>
    <m/>
    <s v="N/A"/>
  </r>
  <r>
    <m/>
    <x v="9"/>
    <m/>
    <s v="MF-FP.24911"/>
    <m/>
    <s v="MF-ST.22414"/>
    <m/>
    <d v="2026-05-03T00:00:00"/>
    <m/>
    <s v="Umum"/>
    <m/>
    <s v="C.13177"/>
    <m/>
    <s v="RISMA"/>
    <m/>
    <s v="HANIF"/>
    <m/>
    <s v="SERVICE LAPTOP"/>
    <m/>
    <x v="2"/>
    <m/>
    <s v="ABDUL MUNAJAT"/>
    <m/>
    <x v="3"/>
    <m/>
    <s v="HANIF"/>
    <m/>
    <s v="SOFTWARE"/>
    <m/>
    <s v="HP"/>
    <m/>
    <s v="HP 14-AM0"/>
    <m/>
    <s v="AKOR-014"/>
    <m/>
    <s v="ORAIMO CABLE TYPE-C 2A OCD-114C"/>
    <m/>
    <n v="15000"/>
    <m/>
    <n v="1"/>
    <m/>
    <n v="25000"/>
    <m/>
    <n v="25000"/>
    <m/>
    <s v="HANIF"/>
    <m/>
    <s v="N/A"/>
  </r>
  <r>
    <m/>
    <x v="9"/>
    <m/>
    <s v="MF-FP.24908"/>
    <m/>
    <s v="MF-ST.22373"/>
    <m/>
    <d v="2026-05-02T00:00:00"/>
    <m/>
    <s v="Member Reguler"/>
    <m/>
    <s v="C.13158"/>
    <m/>
    <s v="SALIM"/>
    <m/>
    <s v="Achmad Indrawanto"/>
    <m/>
    <s v="SERVICE HANDPHONE"/>
    <m/>
    <x v="0"/>
    <m/>
    <s v="YUVI NOFERIANTO"/>
    <m/>
    <x v="4"/>
    <m/>
    <s v="HANIF"/>
    <m/>
    <s v="MATI TOTAL"/>
    <m/>
    <s v="APPLE"/>
    <m/>
    <s v="11 PRO MAX"/>
    <m/>
    <s v="JASA71"/>
    <m/>
    <s v="JASA REPAIR"/>
    <m/>
    <n v="0"/>
    <m/>
    <n v="1"/>
    <m/>
    <n v="330000"/>
    <m/>
    <n v="330000"/>
    <m/>
    <s v="Achmad Indrawanto"/>
    <m/>
    <s v="N/A"/>
  </r>
  <r>
    <m/>
    <x v="9"/>
    <m/>
    <s v="MF-FP.24908"/>
    <m/>
    <s v="MF-ST.22373"/>
    <m/>
    <d v="2026-05-02T00:00:00"/>
    <m/>
    <s v="Member Reguler"/>
    <m/>
    <s v="C.13158"/>
    <m/>
    <s v="SALIM"/>
    <m/>
    <s v="Achmad Indrawanto"/>
    <m/>
    <s v="SERVICE HANDPHONE"/>
    <m/>
    <x v="2"/>
    <m/>
    <s v="YUVI NOFERIANTO"/>
    <m/>
    <x v="4"/>
    <m/>
    <s v="HANIF"/>
    <m/>
    <s v="MATI TOTAL"/>
    <m/>
    <s v="APPLE"/>
    <m/>
    <s v="11 PRO MAX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9"/>
    <m/>
    <s v="MF-FP.24909"/>
    <m/>
    <s v="MF-ST.22410"/>
    <m/>
    <d v="2026-05-03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9"/>
    <m/>
    <s v="MF-FP.24910"/>
    <m/>
    <s v="MF-ST.22412"/>
    <m/>
    <d v="2026-05-03T00:00:00"/>
    <m/>
    <s v="Umum"/>
    <m/>
    <s v="C.13175"/>
    <m/>
    <s v="SIDIK"/>
    <m/>
    <s v="HANIF"/>
    <m/>
    <s v="SERVICE HANDPHONE"/>
    <m/>
    <x v="0"/>
    <m/>
    <s v="MUSTOFA"/>
    <m/>
    <x v="1"/>
    <m/>
    <s v="HANIF"/>
    <m/>
    <s v="LCD"/>
    <m/>
    <s v="SAMSUNG"/>
    <m/>
    <s v="Samsung a32 4g"/>
    <m/>
    <s v="JASA71"/>
    <m/>
    <s v="JASA REPAIR"/>
    <m/>
    <n v="0"/>
    <m/>
    <n v="1"/>
    <m/>
    <n v="190000"/>
    <m/>
    <n v="190000"/>
    <m/>
    <m/>
    <m/>
    <s v="N/A"/>
  </r>
  <r>
    <m/>
    <x v="9"/>
    <m/>
    <s v="MF-FP.24910"/>
    <m/>
    <s v="MF-ST.22412"/>
    <m/>
    <d v="2026-05-03T00:00:00"/>
    <m/>
    <s v="Umum"/>
    <m/>
    <s v="C.13175"/>
    <m/>
    <s v="SIDIK"/>
    <m/>
    <s v="HANIF"/>
    <m/>
    <s v="SERVICE HANDPHONE"/>
    <m/>
    <x v="1"/>
    <m/>
    <s v="MUSTOFA"/>
    <m/>
    <x v="1"/>
    <m/>
    <s v="HANIF"/>
    <m/>
    <s v="LCD"/>
    <m/>
    <s v="SAMSUNG"/>
    <m/>
    <s v="Samsung a32 4g"/>
    <m/>
    <s v="104675"/>
    <m/>
    <s v="LCD.. SAM A32 4G/M32 4G B"/>
    <m/>
    <n v="161266.66666700001"/>
    <m/>
    <n v="1"/>
    <m/>
    <n v="240000"/>
    <m/>
    <n v="240000"/>
    <m/>
    <m/>
    <m/>
    <s v="N/A"/>
  </r>
  <r>
    <m/>
    <x v="9"/>
    <m/>
    <s v="MF-FP.24910"/>
    <m/>
    <s v="MF-ST.22412"/>
    <m/>
    <d v="2026-05-03T00:00:00"/>
    <m/>
    <s v="Umum"/>
    <m/>
    <s v="C.13175"/>
    <m/>
    <s v="SIDIK"/>
    <m/>
    <s v="HANIF"/>
    <m/>
    <s v="SERVICE HANDPHONE"/>
    <m/>
    <x v="2"/>
    <m/>
    <s v="MUSTOFA"/>
    <m/>
    <x v="1"/>
    <m/>
    <s v="HANIF"/>
    <m/>
    <s v="LCD"/>
    <m/>
    <s v="SAMSUNG"/>
    <m/>
    <s v="Samsung a32 4g"/>
    <m/>
    <s v="AKOR-014"/>
    <m/>
    <s v="ORAIMO CABLE TYPE-C 2A OCD-114C"/>
    <m/>
    <n v="15000"/>
    <m/>
    <n v="1"/>
    <m/>
    <n v="20000"/>
    <m/>
    <n v="20000"/>
    <m/>
    <m/>
    <m/>
    <s v="N/A"/>
  </r>
  <r>
    <m/>
    <x v="9"/>
    <m/>
    <s v="MF-FP.24906"/>
    <m/>
    <s v="MF-ST.22303"/>
    <m/>
    <d v="2026-04-30T00:00:00"/>
    <m/>
    <s v="Member Reguler"/>
    <m/>
    <s v="C.13132"/>
    <m/>
    <s v="RINA"/>
    <m/>
    <s v="Achmad Indrawanto"/>
    <m/>
    <s v="PENJUALAN AKSESORIS"/>
    <m/>
    <x v="1"/>
    <m/>
    <s v="N/A"/>
    <m/>
    <x v="5"/>
    <m/>
    <s v="Achmad Indrawanto"/>
    <m/>
    <s v="N/A"/>
    <m/>
    <s v="BELUM ADA MERK"/>
    <m/>
    <s v="N/A"/>
    <m/>
    <s v="103652"/>
    <m/>
    <s v="ADPTR LPT ACR 19V 2.37A"/>
    <m/>
    <n v="70943.076197000002"/>
    <m/>
    <n v="1"/>
    <m/>
    <n v="250000"/>
    <m/>
    <n v="250000"/>
    <m/>
    <s v="Achmad Indrawanto"/>
    <m/>
    <s v="N/A"/>
  </r>
  <r>
    <m/>
    <x v="9"/>
    <m/>
    <s v="MF-FP.24912"/>
    <m/>
    <s v="MF-ST.22305"/>
    <m/>
    <d v="2026-04-30T00:00:00"/>
    <m/>
    <s v="Member Reguler"/>
    <m/>
    <s v="C.04438"/>
    <m/>
    <s v="Nailah septiani"/>
    <m/>
    <s v="WAHYU PRATAMA"/>
    <m/>
    <s v="SERVICE HANDPHONE"/>
    <m/>
    <x v="0"/>
    <m/>
    <s v="MUSTOFA"/>
    <m/>
    <x v="1"/>
    <m/>
    <s v="HANIF"/>
    <m/>
    <s v="BATERAI"/>
    <m/>
    <s v="XIAOMI"/>
    <m/>
    <s v="11t"/>
    <m/>
    <s v="JASA71"/>
    <m/>
    <s v="JASA REPAIR"/>
    <m/>
    <n v="0"/>
    <m/>
    <n v="1"/>
    <m/>
    <n v="180000"/>
    <m/>
    <n v="180000"/>
    <m/>
    <m/>
    <m/>
    <s v="N/A"/>
  </r>
  <r>
    <m/>
    <x v="9"/>
    <m/>
    <s v="MF-FP.24912"/>
    <m/>
    <s v="MF-ST.22305"/>
    <m/>
    <d v="2026-04-30T00:00:00"/>
    <m/>
    <s v="Member Reguler"/>
    <m/>
    <s v="C.04438"/>
    <m/>
    <s v="Nailah septiani"/>
    <m/>
    <s v="WAHYU PRATAMA"/>
    <m/>
    <s v="SERVICE HANDPHONE"/>
    <m/>
    <x v="2"/>
    <m/>
    <s v="MUSTOFA"/>
    <m/>
    <x v="1"/>
    <m/>
    <s v="HANIF"/>
    <m/>
    <s v="BATERAI"/>
    <m/>
    <s v="XIAOMI"/>
    <m/>
    <s v="11t"/>
    <m/>
    <s v="AKOR-014"/>
    <m/>
    <s v="ORAIMO CABLE TYPE-C 2A OCD-114C"/>
    <m/>
    <n v="15000"/>
    <m/>
    <n v="1"/>
    <m/>
    <n v="20000"/>
    <m/>
    <n v="20000"/>
    <m/>
    <m/>
    <m/>
    <s v="N/A"/>
  </r>
  <r>
    <m/>
    <x v="9"/>
    <m/>
    <s v="MF-FP.24912"/>
    <m/>
    <s v="MF-ST.22305"/>
    <m/>
    <d v="2026-04-30T00:00:00"/>
    <m/>
    <s v="Member Reguler"/>
    <m/>
    <s v="C.04438"/>
    <m/>
    <s v="Nailah septiani"/>
    <m/>
    <s v="WAHYU PRATAMA"/>
    <m/>
    <s v="SERVICE HANDPHONE"/>
    <m/>
    <x v="1"/>
    <m/>
    <s v="MUSTOFA"/>
    <m/>
    <x v="1"/>
    <m/>
    <s v="HANIF"/>
    <m/>
    <s v="BATERAI"/>
    <m/>
    <s v="XIAOMI"/>
    <m/>
    <s v="11t"/>
    <m/>
    <s v="107239"/>
    <m/>
    <s v="BCKDR XIO MI 11T / MI 11T PRO"/>
    <m/>
    <n v="67000"/>
    <m/>
    <n v="1"/>
    <m/>
    <n v="100000"/>
    <m/>
    <n v="100000"/>
    <m/>
    <m/>
    <m/>
    <s v="N/A"/>
  </r>
  <r>
    <m/>
    <x v="9"/>
    <m/>
    <s v="MF-FP.24913"/>
    <m/>
    <s v="MF-ST.22369"/>
    <m/>
    <d v="2026-05-02T00:00:00"/>
    <m/>
    <s v="Member Reguler"/>
    <m/>
    <s v="C.13154"/>
    <m/>
    <s v="BAPAK REDI"/>
    <m/>
    <s v="Achmad Indrawanto"/>
    <m/>
    <s v="SERVICE LAPTOP"/>
    <m/>
    <x v="0"/>
    <m/>
    <s v="ABDUL MUNAJAT"/>
    <m/>
    <x v="3"/>
    <m/>
    <s v="HANIF"/>
    <m/>
    <s v="MATI TOTAL"/>
    <m/>
    <s v="HP"/>
    <m/>
    <s v="Hp Elitebook g4"/>
    <m/>
    <s v="JASA71"/>
    <m/>
    <s v="JASA REPAIR"/>
    <m/>
    <n v="0"/>
    <m/>
    <n v="1"/>
    <m/>
    <n v="225000"/>
    <m/>
    <n v="225000"/>
    <m/>
    <s v="Achmad Indrawanto"/>
    <m/>
    <s v="N/A"/>
  </r>
  <r>
    <m/>
    <x v="9"/>
    <m/>
    <s v="MF-FP.24913"/>
    <m/>
    <s v="MF-ST.22369"/>
    <m/>
    <d v="2026-05-02T00:00:00"/>
    <m/>
    <s v="Member Reguler"/>
    <m/>
    <s v="C.13154"/>
    <m/>
    <s v="BAPAK REDI"/>
    <m/>
    <s v="Achmad Indrawanto"/>
    <m/>
    <s v="SERVICE LAPTOP"/>
    <m/>
    <x v="2"/>
    <m/>
    <s v="ABDUL MUNAJAT"/>
    <m/>
    <x v="3"/>
    <m/>
    <s v="HANIF"/>
    <m/>
    <s v="MATI TOTAL"/>
    <m/>
    <s v="HP"/>
    <m/>
    <s v="Hp Elitebook g4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9"/>
    <m/>
    <s v="MF-FP.24913"/>
    <m/>
    <s v="MF-ST.22369"/>
    <m/>
    <d v="2026-05-02T00:00:00"/>
    <m/>
    <s v="Member Reguler"/>
    <m/>
    <s v="C.13154"/>
    <m/>
    <s v="BAPAK REDI"/>
    <m/>
    <s v="Achmad Indrawanto"/>
    <m/>
    <s v="SERVICE LAPTOP"/>
    <m/>
    <x v="1"/>
    <m/>
    <s v="ABDUL MUNAJAT"/>
    <m/>
    <x v="3"/>
    <m/>
    <s v="HANIF"/>
    <m/>
    <s v="MATI TOTAL"/>
    <m/>
    <s v="HP"/>
    <m/>
    <s v="Hp Elitebook g4"/>
    <m/>
    <s v="105815"/>
    <m/>
    <s v="VGEN RAM PLATINUM SODIMM DDR4 4GB PC-21300/2666MHZ"/>
    <m/>
    <n v="471000"/>
    <m/>
    <n v="1"/>
    <m/>
    <n v="700000"/>
    <m/>
    <n v="700000"/>
    <m/>
    <s v="Achmad Indrawanto"/>
    <m/>
    <s v="N/A"/>
  </r>
  <r>
    <m/>
    <x v="9"/>
    <m/>
    <s v="MF-FP.24914"/>
    <m/>
    <s v="MF-ST.22416"/>
    <m/>
    <d v="2026-05-03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1016"/>
    <m/>
    <s v="KABEL POWER LAPTOP"/>
    <m/>
    <n v="15042.328041999999"/>
    <m/>
    <n v="1"/>
    <m/>
    <n v="35000"/>
    <m/>
    <n v="35000"/>
    <m/>
    <m/>
    <m/>
    <s v="N/A"/>
  </r>
  <r>
    <m/>
    <x v="9"/>
    <m/>
    <s v="MF-FP.24915"/>
    <m/>
    <s v="MF-ST.22402"/>
    <m/>
    <d v="2026-05-03T00:00:00"/>
    <m/>
    <s v="Umum"/>
    <m/>
    <s v="C.13169"/>
    <m/>
    <s v="DENI"/>
    <m/>
    <s v="HANIF"/>
    <m/>
    <s v="SERVICE LAPTOP"/>
    <m/>
    <x v="0"/>
    <m/>
    <s v="ARIFIN SANTOSO JATIMULYA"/>
    <m/>
    <x v="6"/>
    <m/>
    <s v="HANIF"/>
    <m/>
    <s v="SOFTWARE"/>
    <m/>
    <s v="XIAOMI"/>
    <m/>
    <s v="REDMI BOOK 15"/>
    <m/>
    <s v="JASA71"/>
    <m/>
    <s v="JASA REPAIR"/>
    <m/>
    <n v="0"/>
    <m/>
    <n v="1"/>
    <m/>
    <n v="380000"/>
    <m/>
    <n v="380000"/>
    <m/>
    <m/>
    <m/>
    <s v="N/A"/>
  </r>
  <r>
    <m/>
    <x v="9"/>
    <m/>
    <s v="MF-FP.24923"/>
    <m/>
    <s v="MF-ST.22422"/>
    <m/>
    <d v="2026-05-03T00:00:00"/>
    <m/>
    <s v="Umum"/>
    <m/>
    <s v="C.00000"/>
    <m/>
    <s v="Pelanggan Umum"/>
    <m/>
    <s v="HANIF"/>
    <m/>
    <s v="SERVICE HANDPHONE"/>
    <m/>
    <x v="0"/>
    <m/>
    <s v="ABDUL MUNAJAT"/>
    <m/>
    <x v="3"/>
    <m/>
    <s v="HANIF"/>
    <m/>
    <s v="N/A"/>
    <m/>
    <s v="BELUM ADA MERK"/>
    <m/>
    <s v="N/A"/>
    <m/>
    <s v="JASA71"/>
    <m/>
    <s v="JASA REPAIR"/>
    <m/>
    <n v="0"/>
    <m/>
    <n v="1"/>
    <m/>
    <n v="25000"/>
    <m/>
    <n v="25000"/>
    <m/>
    <m/>
    <m/>
    <s v="N/A"/>
  </r>
  <r>
    <m/>
    <x v="9"/>
    <m/>
    <s v="MF-FP.24925"/>
    <m/>
    <s v="MF-ST.22413"/>
    <m/>
    <d v="2026-05-03T00:00:00"/>
    <m/>
    <s v="Umum"/>
    <m/>
    <s v="C.13176"/>
    <m/>
    <s v="CIA"/>
    <m/>
    <s v="HANIF"/>
    <m/>
    <s v="SERVICE HANDPHONE"/>
    <m/>
    <x v="0"/>
    <m/>
    <s v="MUSTOFA"/>
    <m/>
    <x v="1"/>
    <m/>
    <s v="HANIF"/>
    <m/>
    <s v="LCD"/>
    <m/>
    <s v="SAMSUNG"/>
    <m/>
    <s v="Samsung A71"/>
    <m/>
    <s v="JASA71"/>
    <m/>
    <s v="JASA REPAIR"/>
    <m/>
    <n v="0"/>
    <m/>
    <n v="1"/>
    <m/>
    <n v="200000"/>
    <m/>
    <n v="200000"/>
    <m/>
    <m/>
    <m/>
    <s v="N/A"/>
  </r>
  <r>
    <m/>
    <x v="9"/>
    <m/>
    <s v="MF-FP.24925"/>
    <m/>
    <s v="MF-ST.22413"/>
    <m/>
    <d v="2026-05-03T00:00:00"/>
    <m/>
    <s v="Umum"/>
    <m/>
    <s v="C.13176"/>
    <m/>
    <s v="CIA"/>
    <m/>
    <s v="HANIF"/>
    <m/>
    <s v="SERVICE HANDPHONE"/>
    <m/>
    <x v="1"/>
    <m/>
    <s v="MUSTOFA"/>
    <m/>
    <x v="1"/>
    <m/>
    <s v="HANIF"/>
    <m/>
    <s v="LCD"/>
    <m/>
    <s v="SAMSUNG"/>
    <m/>
    <s v="Samsung A71"/>
    <m/>
    <s v="100365"/>
    <m/>
    <s v="LCD.. SAM A71/ A71 2020/ M51 4G B"/>
    <m/>
    <n v="160748.577578"/>
    <m/>
    <n v="1"/>
    <m/>
    <n v="230000"/>
    <m/>
    <n v="230000"/>
    <m/>
    <m/>
    <m/>
    <s v="N/A"/>
  </r>
  <r>
    <m/>
    <x v="9"/>
    <m/>
    <s v="MF-FP.24925"/>
    <m/>
    <s v="MF-ST.22413"/>
    <m/>
    <d v="2026-05-03T00:00:00"/>
    <m/>
    <s v="Umum"/>
    <m/>
    <s v="C.13176"/>
    <m/>
    <s v="CIA"/>
    <m/>
    <s v="HANIF"/>
    <m/>
    <s v="SERVICE HANDPHONE"/>
    <m/>
    <x v="2"/>
    <m/>
    <s v="MUSTOFA"/>
    <m/>
    <x v="1"/>
    <m/>
    <s v="HANIF"/>
    <m/>
    <s v="LCD"/>
    <m/>
    <s v="SAMSUNG"/>
    <m/>
    <s v="Samsung A71"/>
    <m/>
    <s v="AKOR-014"/>
    <m/>
    <s v="ORAIMO CABLE TYPE-C 2A OCD-114C"/>
    <m/>
    <n v="15000"/>
    <m/>
    <n v="1"/>
    <m/>
    <n v="20000"/>
    <m/>
    <n v="20000"/>
    <m/>
    <m/>
    <m/>
    <s v="N/A"/>
  </r>
  <r>
    <m/>
    <x v="9"/>
    <m/>
    <s v="MF-FP.24915"/>
    <m/>
    <s v="MF-ST.22402"/>
    <m/>
    <d v="2026-05-03T00:00:00"/>
    <m/>
    <s v="Umum"/>
    <m/>
    <s v="C.13169"/>
    <m/>
    <s v="DENI"/>
    <m/>
    <s v="HANIF"/>
    <m/>
    <s v="SERVICE LAPTOP"/>
    <m/>
    <x v="2"/>
    <m/>
    <s v="ARIFIN SANTOSO JATIMULYA"/>
    <m/>
    <x v="6"/>
    <m/>
    <s v="HANIF"/>
    <m/>
    <s v="SOFTWARE"/>
    <m/>
    <s v="XIAOMI"/>
    <m/>
    <s v="REDMI BOOK 15"/>
    <m/>
    <s v="AKOR-014"/>
    <m/>
    <s v="ORAIMO CABLE TYPE-C 2A OCD-114C"/>
    <m/>
    <n v="15000"/>
    <m/>
    <n v="1"/>
    <m/>
    <n v="20000"/>
    <m/>
    <n v="20000"/>
    <m/>
    <m/>
    <m/>
    <s v="N/A"/>
  </r>
  <r>
    <m/>
    <x v="9"/>
    <m/>
    <s v="MF-FP.24919"/>
    <m/>
    <s v="MF-ST.22421"/>
    <m/>
    <d v="2026-05-03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4971"/>
    <m/>
    <s v="BROOKLYN TPGS. IPH 15 SPY/PRIVACY"/>
    <m/>
    <n v="85800"/>
    <m/>
    <n v="1"/>
    <m/>
    <n v="150000"/>
    <m/>
    <n v="150000"/>
    <m/>
    <m/>
    <m/>
    <s v="N/A"/>
  </r>
  <r>
    <m/>
    <x v="9"/>
    <m/>
    <s v="MF-FP.24916"/>
    <m/>
    <s v="MF-ST.22418"/>
    <m/>
    <d v="2026-05-03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7161"/>
    <m/>
    <s v="ANKER ZOLO CHARGER 30W PD 3.0 C TO C CABLE 3FT B2698L21 WHITE"/>
    <m/>
    <n v="149000"/>
    <m/>
    <n v="1"/>
    <m/>
    <n v="200000"/>
    <m/>
    <n v="200000"/>
    <m/>
    <m/>
    <m/>
    <s v="N/A"/>
  </r>
  <r>
    <m/>
    <x v="9"/>
    <m/>
    <s v="MF-FP.24919"/>
    <m/>
    <s v="MF-ST.22421"/>
    <m/>
    <d v="2026-05-03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4971"/>
    <m/>
    <s v="BROOKLYN TPGS. IPH 15 SPY/PRIVACY"/>
    <m/>
    <n v="85800"/>
    <m/>
    <n v="1"/>
    <m/>
    <n v="120000"/>
    <m/>
    <n v="120000"/>
    <m/>
    <m/>
    <m/>
    <s v="N/A"/>
  </r>
  <r>
    <m/>
    <x v="9"/>
    <m/>
    <s v="MF-FP.24917"/>
    <m/>
    <s v="MF-ST.22420"/>
    <m/>
    <d v="2026-05-03T00:00:00"/>
    <m/>
    <s v="Umum"/>
    <m/>
    <s v="C.13179"/>
    <m/>
    <s v="RAISYA"/>
    <m/>
    <s v="HANIF"/>
    <m/>
    <s v="SERVICE HANDPHONE"/>
    <m/>
    <x v="0"/>
    <m/>
    <s v="YUVI NOFERIANTO"/>
    <m/>
    <x v="4"/>
    <m/>
    <s v="HANIF"/>
    <m/>
    <s v="LCD"/>
    <m/>
    <s v="APPLE"/>
    <m/>
    <s v="IPHONE XS"/>
    <m/>
    <s v="JASA71"/>
    <m/>
    <s v="JASA REPAIR"/>
    <m/>
    <n v="0"/>
    <m/>
    <n v="1"/>
    <m/>
    <n v="200000"/>
    <m/>
    <n v="200000"/>
    <m/>
    <s v="HANIF"/>
    <m/>
    <s v="N/A"/>
  </r>
  <r>
    <m/>
    <x v="9"/>
    <m/>
    <s v="MF-FP.24917"/>
    <m/>
    <s v="MF-ST.22420"/>
    <m/>
    <d v="2026-05-03T00:00:00"/>
    <m/>
    <s v="Umum"/>
    <m/>
    <s v="C.13179"/>
    <m/>
    <s v="RAISYA"/>
    <m/>
    <s v="HANIF"/>
    <m/>
    <s v="SERVICE HANDPHONE"/>
    <m/>
    <x v="1"/>
    <m/>
    <s v="YUVI NOFERIANTO"/>
    <m/>
    <x v="4"/>
    <m/>
    <s v="HANIF"/>
    <m/>
    <s v="LCD"/>
    <m/>
    <s v="APPLE"/>
    <m/>
    <s v="IPHONE XS"/>
    <m/>
    <s v="100487"/>
    <m/>
    <s v="LCD.. IPH XS INCELL"/>
    <m/>
    <n v="206854.518155"/>
    <m/>
    <n v="1"/>
    <m/>
    <n v="280000"/>
    <m/>
    <n v="280000"/>
    <m/>
    <s v="HANIF"/>
    <m/>
    <s v="N/A"/>
  </r>
  <r>
    <m/>
    <x v="9"/>
    <m/>
    <s v="MF-FP.24917"/>
    <m/>
    <s v="MF-ST.22420"/>
    <m/>
    <d v="2026-05-03T00:00:00"/>
    <m/>
    <s v="Umum"/>
    <m/>
    <s v="C.13179"/>
    <m/>
    <s v="RAISYA"/>
    <m/>
    <s v="HANIF"/>
    <m/>
    <s v="SERVICE HANDPHONE"/>
    <m/>
    <x v="2"/>
    <m/>
    <s v="YUVI NOFERIANTO"/>
    <m/>
    <x v="4"/>
    <m/>
    <s v="HANIF"/>
    <m/>
    <s v="LCD"/>
    <m/>
    <s v="APPLE"/>
    <m/>
    <s v="IPHONE XS"/>
    <m/>
    <s v="AKOR-014"/>
    <m/>
    <s v="ORAIMO CABLE TYPE-C 2A OCD-114C"/>
    <m/>
    <n v="15000"/>
    <m/>
    <n v="1"/>
    <m/>
    <n v="20000"/>
    <m/>
    <n v="20000"/>
    <m/>
    <s v="HANIF"/>
    <m/>
    <s v="N/A"/>
  </r>
  <r>
    <m/>
    <x v="9"/>
    <m/>
    <s v="MF-FP.24918"/>
    <m/>
    <s v="MF-ST.22372"/>
    <m/>
    <d v="2026-05-02T00:00:00"/>
    <m/>
    <s v="Member Reguler"/>
    <m/>
    <s v="C.13157"/>
    <m/>
    <s v="RAFLI"/>
    <m/>
    <s v="Achmad Indrawanto"/>
    <m/>
    <s v="SERVICE HANDPHONE"/>
    <m/>
    <x v="0"/>
    <m/>
    <s v="ARIFIN SANTOSO JATIMULYA"/>
    <m/>
    <x v="6"/>
    <m/>
    <s v="HANIF"/>
    <m/>
    <s v="ENGSEL"/>
    <m/>
    <s v="HP"/>
    <m/>
    <s v="HP 14S DK"/>
    <m/>
    <s v="JASA71"/>
    <m/>
    <s v="JASA REPAIR"/>
    <m/>
    <n v="0"/>
    <m/>
    <n v="1"/>
    <m/>
    <n v="580000"/>
    <m/>
    <n v="580000"/>
    <m/>
    <s v="Achmad Indrawanto"/>
    <m/>
    <s v="N/A"/>
  </r>
  <r>
    <m/>
    <x v="9"/>
    <m/>
    <s v="MF-FP.24918"/>
    <m/>
    <s v="MF-ST.22372"/>
    <m/>
    <d v="2026-05-02T00:00:00"/>
    <m/>
    <s v="Member Reguler"/>
    <m/>
    <s v="C.13157"/>
    <m/>
    <s v="RAFLI"/>
    <m/>
    <s v="Achmad Indrawanto"/>
    <m/>
    <s v="SERVICE HANDPHONE"/>
    <m/>
    <x v="2"/>
    <m/>
    <s v="ARIFIN SANTOSO JATIMULYA"/>
    <m/>
    <x v="6"/>
    <m/>
    <s v="HANIF"/>
    <m/>
    <s v="ENGSEL"/>
    <m/>
    <s v="HP"/>
    <m/>
    <s v="HP 14S DK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9"/>
    <m/>
    <s v="MF-FP.24922"/>
    <m/>
    <s v="MF-ST.22408"/>
    <m/>
    <d v="2026-05-03T00:00:00"/>
    <m/>
    <s v="Umum"/>
    <m/>
    <s v="C.13172"/>
    <m/>
    <s v="UWAIS"/>
    <m/>
    <s v="HANIF"/>
    <m/>
    <s v="SERVICE HANDPHONE"/>
    <m/>
    <x v="0"/>
    <m/>
    <s v="YUVI NOFERIANTO"/>
    <m/>
    <x v="4"/>
    <m/>
    <s v="HANIF"/>
    <m/>
    <s v="N/A"/>
    <m/>
    <s v="XIAOMI"/>
    <m/>
    <s v="POCO M5"/>
    <m/>
    <s v="JASA71"/>
    <m/>
    <s v="JASA REPAIR"/>
    <m/>
    <n v="0"/>
    <m/>
    <n v="1"/>
    <m/>
    <n v="130000"/>
    <m/>
    <n v="130000"/>
    <m/>
    <s v="HANIF"/>
    <m/>
    <s v="N/A"/>
  </r>
  <r>
    <m/>
    <x v="9"/>
    <m/>
    <s v="MF-FP.24922"/>
    <m/>
    <s v="MF-ST.22408"/>
    <m/>
    <d v="2026-05-03T00:00:00"/>
    <m/>
    <s v="Umum"/>
    <m/>
    <s v="C.13172"/>
    <m/>
    <s v="UWAIS"/>
    <m/>
    <s v="HANIF"/>
    <m/>
    <s v="SERVICE HANDPHONE"/>
    <m/>
    <x v="2"/>
    <m/>
    <s v="YUVI NOFERIANTO"/>
    <m/>
    <x v="4"/>
    <m/>
    <s v="HANIF"/>
    <m/>
    <s v="N/A"/>
    <m/>
    <s v="XIAOMI"/>
    <m/>
    <s v="POCO M5"/>
    <m/>
    <s v="AKOR-014"/>
    <m/>
    <s v="ORAIMO CABLE TYPE-C 2A OCD-114C"/>
    <m/>
    <n v="15000"/>
    <m/>
    <n v="1"/>
    <m/>
    <n v="20000"/>
    <m/>
    <n v="20000"/>
    <m/>
    <s v="HANIF"/>
    <m/>
    <s v="N/A"/>
  </r>
  <r>
    <m/>
    <x v="9"/>
    <m/>
    <s v="MF-FP.24924"/>
    <m/>
    <s v="MF-ST.22423"/>
    <m/>
    <d v="2026-05-03T00:00:00"/>
    <m/>
    <s v="Umum"/>
    <m/>
    <s v="C.00000"/>
    <m/>
    <s v="Pelanggan Umum"/>
    <m/>
    <s v="HANIF"/>
    <m/>
    <s v="SERVICE HANDPHONE"/>
    <m/>
    <x v="0"/>
    <m/>
    <s v="MUSTOFA"/>
    <m/>
    <x v="1"/>
    <m/>
    <s v="HANIF"/>
    <m/>
    <s v="REPAIR"/>
    <m/>
    <s v="BELUM ADA MERK"/>
    <m/>
    <s v="N/A"/>
    <m/>
    <s v="JASA71"/>
    <m/>
    <s v="JASA REPAIR"/>
    <m/>
    <n v="0"/>
    <m/>
    <n v="1"/>
    <m/>
    <n v="35000"/>
    <m/>
    <n v="35000"/>
    <m/>
    <m/>
    <m/>
    <s v="N/A"/>
  </r>
  <r>
    <m/>
    <x v="10"/>
    <m/>
    <s v="MF-FP.24928"/>
    <m/>
    <s v="MF-ST.22427"/>
    <m/>
    <d v="2026-05-04T00:00:00"/>
    <m/>
    <s v="Umum"/>
    <m/>
    <s v="C.07896"/>
    <m/>
    <s v="pak amin"/>
    <m/>
    <s v="Achmad Indrawanto"/>
    <m/>
    <s v="SERVICE HANDPHONE"/>
    <m/>
    <x v="0"/>
    <m/>
    <s v="YUVI NOFERIANTO"/>
    <m/>
    <x v="4"/>
    <m/>
    <s v="Achmad Indrawanto"/>
    <m/>
    <s v="FLEXIBEL CHARGER (PAPAN KONEKTOR)"/>
    <m/>
    <s v="SAMSUNG"/>
    <m/>
    <s v="Samsung a03"/>
    <m/>
    <s v="JASA71"/>
    <m/>
    <s v="JASA REPAIR"/>
    <m/>
    <n v="0"/>
    <m/>
    <n v="1"/>
    <m/>
    <n v="180000"/>
    <m/>
    <n v="180000"/>
    <m/>
    <s v="TEGAR PUTRA YANSA SALES"/>
    <m/>
    <s v="N/A"/>
  </r>
  <r>
    <m/>
    <x v="10"/>
    <m/>
    <s v="MF-FP.24926"/>
    <m/>
    <s v="MF-ST.16678"/>
    <m/>
    <d v="2025-10-04T00:00:00"/>
    <m/>
    <s v="Corporate"/>
    <m/>
    <s v="MCJ0077"/>
    <m/>
    <s v="Achmad Indrawanto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0072"/>
    <m/>
    <s v="FOOMEE KABEL DATA NF10 TYPE-C 2.4A"/>
    <m/>
    <n v="32350"/>
    <m/>
    <n v="1"/>
    <m/>
    <n v="35000"/>
    <m/>
    <n v="35000"/>
    <m/>
    <s v="Achmad Indrawanto"/>
    <m/>
    <s v="N/A"/>
  </r>
  <r>
    <m/>
    <x v="10"/>
    <m/>
    <s v="MF-FP.24927"/>
    <m/>
    <s v="MF-ST.22332"/>
    <m/>
    <d v="2026-05-01T00:00:00"/>
    <m/>
    <s v="Umum"/>
    <m/>
    <s v="C.05816"/>
    <m/>
    <s v="MUHAMMAD RAIHAN"/>
    <m/>
    <s v="WAHYU PRATAMA"/>
    <m/>
    <s v="SERVICE LAPTOP"/>
    <m/>
    <x v="0"/>
    <m/>
    <s v="ABDUL MUNAJAT"/>
    <m/>
    <x v="3"/>
    <m/>
    <s v="Achmad Indrawanto"/>
    <m/>
    <s v="REPAIR"/>
    <m/>
    <s v="ADVAN"/>
    <m/>
    <s v="WORK PLUS"/>
    <m/>
    <s v="JASA71"/>
    <m/>
    <s v="JASA REPAIR"/>
    <m/>
    <n v="0"/>
    <m/>
    <n v="1"/>
    <m/>
    <n v="625000"/>
    <m/>
    <n v="625000"/>
    <m/>
    <m/>
    <m/>
    <s v="N/A"/>
  </r>
  <r>
    <m/>
    <x v="10"/>
    <m/>
    <s v="MF-FP.24927"/>
    <m/>
    <s v="MF-ST.22332"/>
    <m/>
    <d v="2026-05-01T00:00:00"/>
    <m/>
    <s v="Umum"/>
    <m/>
    <s v="C.05816"/>
    <m/>
    <s v="MUHAMMAD RAIHAN"/>
    <m/>
    <s v="WAHYU PRATAMA"/>
    <m/>
    <s v="SERVICE LAPTOP"/>
    <m/>
    <x v="2"/>
    <m/>
    <s v="ABDUL MUNAJAT"/>
    <m/>
    <x v="3"/>
    <m/>
    <s v="Achmad Indrawanto"/>
    <m/>
    <s v="REPAIR"/>
    <m/>
    <s v="ADVAN"/>
    <m/>
    <s v="WORK PLUS"/>
    <m/>
    <s v="AKOR-014"/>
    <m/>
    <s v="ORAIMO CABLE TYPE-C 2A OCD-114C"/>
    <m/>
    <n v="15000"/>
    <m/>
    <n v="1"/>
    <m/>
    <n v="25000"/>
    <m/>
    <n v="25000"/>
    <m/>
    <m/>
    <m/>
    <s v="N/A"/>
  </r>
  <r>
    <m/>
    <x v="10"/>
    <m/>
    <s v="MF-FP.24928"/>
    <m/>
    <s v="MF-ST.22427"/>
    <m/>
    <d v="2026-05-04T00:00:00"/>
    <m/>
    <s v="Umum"/>
    <m/>
    <s v="C.07896"/>
    <m/>
    <s v="pak amin"/>
    <m/>
    <s v="Achmad Indrawanto"/>
    <m/>
    <s v="SERVICE HANDPHONE"/>
    <m/>
    <x v="1"/>
    <m/>
    <s v="YUVI NOFERIANTO"/>
    <m/>
    <x v="4"/>
    <m/>
    <s v="Achmad Indrawanto"/>
    <m/>
    <s v="FLEXIBEL CHARGER (PAPAN KONEKTOR)"/>
    <m/>
    <s v="SAMSUNG"/>
    <m/>
    <s v="Samsung a03"/>
    <m/>
    <s v="101980"/>
    <m/>
    <s v="FLCRG SAM A03"/>
    <m/>
    <n v="17000"/>
    <m/>
    <n v="1"/>
    <m/>
    <n v="30000"/>
    <m/>
    <n v="30000"/>
    <m/>
    <s v="TEGAR PUTRA YANSA SALES"/>
    <m/>
    <s v="N/A"/>
  </r>
  <r>
    <m/>
    <x v="10"/>
    <m/>
    <s v="MF-FP.24928"/>
    <m/>
    <s v="MF-ST.22427"/>
    <m/>
    <d v="2026-05-04T00:00:00"/>
    <m/>
    <s v="Umum"/>
    <m/>
    <s v="C.07896"/>
    <m/>
    <s v="pak amin"/>
    <m/>
    <s v="Achmad Indrawanto"/>
    <m/>
    <s v="SERVICE HANDPHONE"/>
    <m/>
    <x v="2"/>
    <m/>
    <s v="YUVI NOFERIANTO"/>
    <m/>
    <x v="4"/>
    <m/>
    <s v="Achmad Indrawanto"/>
    <m/>
    <s v="FLEXIBEL CHARGER (PAPAN KONEKTOR)"/>
    <m/>
    <s v="SAMSUNG"/>
    <m/>
    <s v="Samsung a03"/>
    <m/>
    <s v="AKOR-014"/>
    <m/>
    <s v="ORAIMO CABLE TYPE-C 2A OCD-114C"/>
    <m/>
    <n v="15000"/>
    <m/>
    <n v="1"/>
    <m/>
    <n v="25000"/>
    <m/>
    <n v="25000"/>
    <m/>
    <s v="TEGAR PUTRA YANSA SALES"/>
    <m/>
    <s v="N/A"/>
  </r>
  <r>
    <m/>
    <x v="10"/>
    <m/>
    <s v="MF-FP.24929"/>
    <m/>
    <s v="MF-ST.22430"/>
    <m/>
    <d v="2026-05-04T00:00:00"/>
    <m/>
    <s v="Member Reguler"/>
    <m/>
    <s v="C.13180"/>
    <m/>
    <s v="AWIN"/>
    <m/>
    <s v="Achmad Indrawanto"/>
    <m/>
    <s v="SERVICE HANDPHONE"/>
    <m/>
    <x v="0"/>
    <m/>
    <s v="YUVI NOFERIANTO"/>
    <m/>
    <x v="4"/>
    <m/>
    <s v="Achmad Indrawanto"/>
    <m/>
    <s v="REPAIR"/>
    <m/>
    <s v="XIAOMI"/>
    <m/>
    <s v="REDMI"/>
    <m/>
    <s v="JASA71"/>
    <m/>
    <s v="JASA REPAIR"/>
    <m/>
    <n v="0"/>
    <m/>
    <n v="1"/>
    <m/>
    <n v="25000"/>
    <m/>
    <n v="25000"/>
    <m/>
    <s v="Achmad Indrawanto"/>
    <m/>
    <s v="N/A"/>
  </r>
  <r>
    <m/>
    <x v="10"/>
    <m/>
    <s v="MF-FP.24929"/>
    <m/>
    <s v="MF-ST.22430"/>
    <m/>
    <d v="2026-05-04T00:00:00"/>
    <m/>
    <s v="Member Reguler"/>
    <m/>
    <s v="C.13180"/>
    <m/>
    <s v="AWIN"/>
    <m/>
    <s v="Achmad Indrawanto"/>
    <m/>
    <s v="SERVICE HANDPHONE"/>
    <m/>
    <x v="2"/>
    <m/>
    <s v="YUVI NOFERIANTO"/>
    <m/>
    <x v="4"/>
    <m/>
    <s v="Achmad Indrawanto"/>
    <m/>
    <s v="REPAIR"/>
    <m/>
    <s v="XIAOMI"/>
    <m/>
    <s v="REDMI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0"/>
    <m/>
    <s v="MF-FP.21980 - OV1"/>
    <m/>
    <s v="MF-ST.22431"/>
    <m/>
    <d v="2026-05-04T00:00:00"/>
    <m/>
    <s v="Member Reguler"/>
    <m/>
    <s v="MR104822"/>
    <m/>
    <s v="RONI ABDILLAH"/>
    <m/>
    <s v="Achmad Indrawanto"/>
    <m/>
    <s v="SERVICE HANDPHONE"/>
    <m/>
    <x v="1"/>
    <m/>
    <s v="YUVI NOFERIANTO"/>
    <m/>
    <x v="4"/>
    <m/>
    <s v="Achmad Indrawanto"/>
    <m/>
    <s v="BATERAI"/>
    <m/>
    <s v="SAMSUNG"/>
    <m/>
    <s v="SAMSUNG A71"/>
    <m/>
    <s v="105660"/>
    <m/>
    <s v="BATER SAM A71"/>
    <m/>
    <n v="136216.216216"/>
    <m/>
    <n v="1"/>
    <m/>
    <n v="130000"/>
    <m/>
    <n v="130000"/>
    <m/>
    <s v="TEGAR PUTRA YANSA SALES"/>
    <m/>
    <s v="N/A"/>
  </r>
  <r>
    <m/>
    <x v="10"/>
    <m/>
    <s v="MF-FP.24933"/>
    <m/>
    <s v="MF-ST.22434"/>
    <m/>
    <d v="2026-05-04T00:00:00"/>
    <m/>
    <s v="Umum"/>
    <m/>
    <s v="C.11759"/>
    <m/>
    <s v="Puskesmas Babelan 1"/>
    <m/>
    <s v="HANIF"/>
    <m/>
    <s v="SERVICE LAPTOP"/>
    <m/>
    <x v="0"/>
    <m/>
    <s v="ARIFIN SANTOSO JATIMULYA"/>
    <m/>
    <x v="6"/>
    <m/>
    <s v="HANIF"/>
    <m/>
    <s v="REPAIR"/>
    <m/>
    <s v="HP"/>
    <m/>
    <s v="HP 14S CF"/>
    <m/>
    <s v="JASA71"/>
    <m/>
    <s v="JASA REPAIR"/>
    <m/>
    <n v="0"/>
    <m/>
    <n v="1"/>
    <m/>
    <n v="230000"/>
    <m/>
    <n v="230000"/>
    <m/>
    <s v="TEGAR PUTRA YANSA SALES"/>
    <m/>
    <s v="N/A"/>
  </r>
  <r>
    <m/>
    <x v="10"/>
    <m/>
    <s v="MF-FP.24933"/>
    <m/>
    <s v="MF-ST.22434"/>
    <m/>
    <d v="2026-05-04T00:00:00"/>
    <m/>
    <s v="Umum"/>
    <m/>
    <s v="C.11759"/>
    <m/>
    <s v="Puskesmas Babelan 1"/>
    <m/>
    <s v="HANIF"/>
    <m/>
    <s v="SERVICE LAPTOP"/>
    <m/>
    <x v="2"/>
    <m/>
    <s v="ARIFIN SANTOSO JATIMULYA"/>
    <m/>
    <x v="6"/>
    <m/>
    <s v="HANIF"/>
    <m/>
    <s v="REPAIR"/>
    <m/>
    <s v="HP"/>
    <m/>
    <s v="HP 14S CF"/>
    <m/>
    <s v="AKOR-014"/>
    <m/>
    <s v="ORAIMO CABLE TYPE-C 2A OCD-114C"/>
    <m/>
    <n v="15000"/>
    <m/>
    <n v="1"/>
    <m/>
    <n v="20000"/>
    <m/>
    <n v="20000"/>
    <m/>
    <s v="TEGAR PUTRA YANSA SALES"/>
    <m/>
    <s v="N/A"/>
  </r>
  <r>
    <m/>
    <x v="10"/>
    <m/>
    <s v="MF-FP.24935"/>
    <m/>
    <s v="MF-ST.22436"/>
    <m/>
    <d v="2026-05-04T00:00:00"/>
    <m/>
    <s v="Umum"/>
    <m/>
    <s v="C.00000"/>
    <m/>
    <s v="Pelanggan Umum"/>
    <m/>
    <s v="HANIF"/>
    <m/>
    <s v="SERVICE HANDPHONE"/>
    <m/>
    <x v="0"/>
    <m/>
    <s v="EKO RISDIYANTORO JATIMULYA"/>
    <m/>
    <x v="2"/>
    <m/>
    <s v="HANIF"/>
    <m/>
    <s v="REPAIR"/>
    <m/>
    <s v="SAMSUNG"/>
    <m/>
    <s v="A12"/>
    <m/>
    <s v="JASA71"/>
    <m/>
    <s v="JASA REPAIR"/>
    <m/>
    <n v="0"/>
    <m/>
    <n v="1"/>
    <m/>
    <n v="40000"/>
    <m/>
    <n v="40000"/>
    <m/>
    <m/>
    <m/>
    <s v="N/A"/>
  </r>
  <r>
    <m/>
    <x v="10"/>
    <m/>
    <s v="MF-FP.24930"/>
    <m/>
    <s v="MF-ST.22293"/>
    <m/>
    <d v="2026-04-30T00:00:00"/>
    <m/>
    <s v="Member Reguler"/>
    <m/>
    <s v="C.13127"/>
    <m/>
    <s v="MBAK WAR"/>
    <m/>
    <s v="Achmad Indrawanto"/>
    <m/>
    <s v="SERVICE HANDPHONE"/>
    <m/>
    <x v="0"/>
    <m/>
    <s v="YUVI NOFERIANTO"/>
    <m/>
    <x v="4"/>
    <m/>
    <s v="Achmad Indrawanto"/>
    <m/>
    <s v="REPAIR"/>
    <m/>
    <s v="SAMSUNG"/>
    <m/>
    <s v="Samsung a05"/>
    <m/>
    <s v="JASA75"/>
    <m/>
    <s v="JASA SOFTWARE (INSTAL ULANG) HP/LAPTOP"/>
    <m/>
    <n v="0"/>
    <m/>
    <n v="1"/>
    <m/>
    <n v="225000"/>
    <m/>
    <n v="225000"/>
    <m/>
    <s v="Achmad Indrawanto"/>
    <m/>
    <s v="N/A"/>
  </r>
  <r>
    <m/>
    <x v="10"/>
    <m/>
    <s v="MF-FP.24930"/>
    <m/>
    <s v="MF-ST.22293"/>
    <m/>
    <d v="2026-04-30T00:00:00"/>
    <m/>
    <s v="Member Reguler"/>
    <m/>
    <s v="C.13127"/>
    <m/>
    <s v="MBAK WAR"/>
    <m/>
    <s v="Achmad Indrawanto"/>
    <m/>
    <s v="SERVICE HANDPHONE"/>
    <m/>
    <x v="2"/>
    <m/>
    <s v="YUVI NOFERIANTO"/>
    <m/>
    <x v="4"/>
    <m/>
    <s v="Achmad Indrawanto"/>
    <m/>
    <s v="REPAIR"/>
    <m/>
    <s v="SAMSUNG"/>
    <m/>
    <s v="Samsung a05"/>
    <m/>
    <s v="100025"/>
    <m/>
    <s v="VIVAN HYDROGEL BASIC CRYSTAL CLEAR VSP01T"/>
    <m/>
    <n v="11151.582562"/>
    <m/>
    <n v="1"/>
    <m/>
    <n v="75000"/>
    <m/>
    <n v="75000"/>
    <m/>
    <s v="Achmad Indrawanto"/>
    <m/>
    <s v="N/A"/>
  </r>
  <r>
    <m/>
    <x v="10"/>
    <m/>
    <s v="MF-FP.24930"/>
    <m/>
    <s v="MF-ST.22293"/>
    <m/>
    <d v="2026-04-30T00:00:00"/>
    <m/>
    <s v="Member Reguler"/>
    <m/>
    <s v="C.13127"/>
    <m/>
    <s v="MBAK WAR"/>
    <m/>
    <s v="Achmad Indrawanto"/>
    <m/>
    <s v="SERVICE HANDPHONE"/>
    <m/>
    <x v="2"/>
    <m/>
    <s v="YUVI NOFERIANTO"/>
    <m/>
    <x v="4"/>
    <m/>
    <s v="Achmad Indrawanto"/>
    <m/>
    <s v="REPAIR"/>
    <m/>
    <s v="SAMSUNG"/>
    <m/>
    <s v="Samsung a05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0"/>
    <m/>
    <s v="MF-FP.24932"/>
    <m/>
    <s v="MF-ST.22433"/>
    <m/>
    <d v="2026-05-04T00:00:00"/>
    <m/>
    <s v="Umum"/>
    <m/>
    <s v="C.00000"/>
    <m/>
    <s v="Pelanggan Umum"/>
    <m/>
    <s v="HANIF"/>
    <m/>
    <s v="SERVICE HANDPHONE"/>
    <m/>
    <x v="0"/>
    <m/>
    <s v="YUVI NOFERIANTO"/>
    <m/>
    <x v="4"/>
    <m/>
    <s v="HANIF"/>
    <m/>
    <s v="REPAIR"/>
    <m/>
    <s v="INFINIX"/>
    <m/>
    <s v="NOTE 50"/>
    <m/>
    <s v="JASA71"/>
    <m/>
    <s v="JASA REPAIR"/>
    <m/>
    <n v="0"/>
    <m/>
    <n v="1"/>
    <m/>
    <n v="30000"/>
    <m/>
    <n v="30000"/>
    <m/>
    <m/>
    <m/>
    <s v="N/A"/>
  </r>
  <r>
    <m/>
    <x v="10"/>
    <m/>
    <s v="MF-FP.24934"/>
    <m/>
    <s v="MF-ST.22428"/>
    <m/>
    <d v="2026-05-04T00:00:00"/>
    <m/>
    <s v="Umum"/>
    <m/>
    <s v="C.04099"/>
    <m/>
    <s v="REFI"/>
    <m/>
    <s v="Achmad Indrawanto"/>
    <m/>
    <s v="SERVICE HANDPHONE"/>
    <m/>
    <x v="0"/>
    <m/>
    <s v="MUSTOFA"/>
    <m/>
    <x v="1"/>
    <m/>
    <s v="HANIF"/>
    <m/>
    <s v="REPAIR"/>
    <m/>
    <s v="SAMSUNG"/>
    <m/>
    <s v="Samsung a20s"/>
    <m/>
    <s v="JASA71"/>
    <m/>
    <s v="JASA REPAIR"/>
    <m/>
    <n v="0"/>
    <m/>
    <n v="1"/>
    <m/>
    <n v="130000"/>
    <m/>
    <n v="130000"/>
    <m/>
    <m/>
    <m/>
    <s v="N/A"/>
  </r>
  <r>
    <m/>
    <x v="10"/>
    <m/>
    <s v="MF-FP.24937"/>
    <m/>
    <s v="MF-ST.22411"/>
    <m/>
    <d v="2026-05-03T00:00:00"/>
    <m/>
    <s v="Umum"/>
    <m/>
    <s v="C.13174"/>
    <m/>
    <s v="TARJO"/>
    <m/>
    <s v="HANIF"/>
    <m/>
    <s v="SERVICE HANDPHONE"/>
    <m/>
    <x v="0"/>
    <m/>
    <s v="YUVI NOFERIANTO"/>
    <m/>
    <x v="4"/>
    <m/>
    <s v="HANIF"/>
    <m/>
    <s v="REPAIR"/>
    <m/>
    <s v="SAMSUNG"/>
    <m/>
    <s v="a02s"/>
    <m/>
    <s v="JASA71"/>
    <m/>
    <s v="JASA REPAIR"/>
    <m/>
    <n v="0"/>
    <m/>
    <n v="1"/>
    <m/>
    <n v="130000"/>
    <m/>
    <n v="130000"/>
    <m/>
    <s v="HANIF"/>
    <m/>
    <s v="N/A"/>
  </r>
  <r>
    <m/>
    <x v="10"/>
    <m/>
    <s v="MF-FP.24937"/>
    <m/>
    <s v="MF-ST.22411"/>
    <m/>
    <d v="2026-05-03T00:00:00"/>
    <m/>
    <s v="Umum"/>
    <m/>
    <s v="C.13174"/>
    <m/>
    <s v="TARJO"/>
    <m/>
    <s v="HANIF"/>
    <m/>
    <s v="SERVICE HANDPHONE"/>
    <m/>
    <x v="2"/>
    <m/>
    <s v="YUVI NOFERIANTO"/>
    <m/>
    <x v="4"/>
    <m/>
    <s v="HANIF"/>
    <m/>
    <s v="REPAIR"/>
    <m/>
    <s v="SAMSUNG"/>
    <m/>
    <s v="a02s"/>
    <m/>
    <s v="AKOR-014"/>
    <m/>
    <s v="ORAIMO CABLE TYPE-C 2A OCD-114C"/>
    <m/>
    <n v="15000"/>
    <m/>
    <n v="1"/>
    <m/>
    <n v="20000"/>
    <m/>
    <n v="20000"/>
    <m/>
    <s v="HANIF"/>
    <m/>
    <s v="N/A"/>
  </r>
  <r>
    <m/>
    <x v="10"/>
    <m/>
    <s v="MF-FP.24938"/>
    <m/>
    <s v="MF-ST.22440"/>
    <m/>
    <d v="2026-05-04T00:00:00"/>
    <m/>
    <s v="Umum"/>
    <m/>
    <s v="C.13184"/>
    <m/>
    <s v="HENDRI"/>
    <m/>
    <s v="HANIF"/>
    <m/>
    <s v="SERVICE HANDPHONE"/>
    <m/>
    <x v="1"/>
    <m/>
    <s v="EKO RISDIYANTORO JATIMULYA"/>
    <m/>
    <x v="2"/>
    <m/>
    <s v="HANIF"/>
    <m/>
    <s v="LCD"/>
    <m/>
    <s v="SAMSUNG"/>
    <m/>
    <s v="samsung a33"/>
    <m/>
    <s v="106291"/>
    <m/>
    <s v="LCD.. SAM A33 5G INCEL + FRAME B"/>
    <m/>
    <n v="219000"/>
    <m/>
    <n v="1"/>
    <m/>
    <n v="315000"/>
    <m/>
    <n v="315000"/>
    <m/>
    <s v="HANIF"/>
    <m/>
    <s v="N/A"/>
  </r>
  <r>
    <m/>
    <x v="10"/>
    <m/>
    <s v="MF-FP.24934"/>
    <m/>
    <s v="MF-ST.22428"/>
    <m/>
    <d v="2026-05-04T00:00:00"/>
    <m/>
    <s v="Umum"/>
    <m/>
    <s v="C.04099"/>
    <m/>
    <s v="REFI"/>
    <m/>
    <s v="Achmad Indrawanto"/>
    <m/>
    <s v="SERVICE HANDPHONE"/>
    <m/>
    <x v="2"/>
    <m/>
    <s v="MUSTOFA"/>
    <m/>
    <x v="1"/>
    <m/>
    <s v="HANIF"/>
    <m/>
    <s v="REPAIR"/>
    <m/>
    <s v="SAMSUNG"/>
    <m/>
    <s v="Samsung a20s"/>
    <m/>
    <s v="AKOR-014"/>
    <m/>
    <s v="ORAIMO CABLE TYPE-C 2A OCD-114C"/>
    <m/>
    <n v="15000"/>
    <m/>
    <n v="1"/>
    <m/>
    <n v="20000"/>
    <m/>
    <n v="20000"/>
    <m/>
    <m/>
    <m/>
    <s v="N/A"/>
  </r>
  <r>
    <m/>
    <x v="10"/>
    <m/>
    <s v="MF-FP.24938"/>
    <m/>
    <s v="MF-ST.22440"/>
    <m/>
    <d v="2026-05-04T00:00:00"/>
    <m/>
    <s v="Umum"/>
    <m/>
    <s v="C.13184"/>
    <m/>
    <s v="HENDRI"/>
    <m/>
    <s v="HANIF"/>
    <m/>
    <s v="SERVICE HANDPHONE"/>
    <m/>
    <x v="0"/>
    <m/>
    <s v="EKO RISDIYANTORO JATIMULYA"/>
    <m/>
    <x v="2"/>
    <m/>
    <s v="HANIF"/>
    <m/>
    <s v="LCD"/>
    <m/>
    <s v="SAMSUNG"/>
    <m/>
    <s v="samsung a33"/>
    <m/>
    <s v="JASA71"/>
    <m/>
    <s v="JASA REPAIR"/>
    <m/>
    <n v="0"/>
    <m/>
    <n v="1"/>
    <m/>
    <n v="160000"/>
    <m/>
    <n v="160000"/>
    <m/>
    <s v="HANIF"/>
    <m/>
    <s v="N/A"/>
  </r>
  <r>
    <m/>
    <x v="10"/>
    <m/>
    <s v="MF-FP.24938"/>
    <m/>
    <s v="MF-ST.22440"/>
    <m/>
    <d v="2026-05-04T00:00:00"/>
    <m/>
    <s v="Umum"/>
    <m/>
    <s v="C.13184"/>
    <m/>
    <s v="HENDRI"/>
    <m/>
    <s v="HANIF"/>
    <m/>
    <s v="SERVICE HANDPHONE"/>
    <m/>
    <x v="2"/>
    <m/>
    <s v="EKO RISDIYANTORO JATIMULYA"/>
    <m/>
    <x v="2"/>
    <m/>
    <s v="HANIF"/>
    <m/>
    <s v="LCD"/>
    <m/>
    <s v="SAMSUNG"/>
    <m/>
    <s v="samsung a33"/>
    <m/>
    <s v="100025"/>
    <m/>
    <s v="VIVAN HYDROGEL BASIC CRYSTAL CLEAR VSP01T"/>
    <m/>
    <n v="11151.582562"/>
    <m/>
    <n v="1"/>
    <m/>
    <n v="75000"/>
    <m/>
    <n v="75000"/>
    <m/>
    <s v="HANIF"/>
    <m/>
    <s v="N/A"/>
  </r>
  <r>
    <m/>
    <x v="11"/>
    <m/>
    <s v="MF-FP.24957"/>
    <m/>
    <s v="MF-ST.22435"/>
    <m/>
    <d v="2026-05-04T00:00:00"/>
    <m/>
    <s v="Member Reguler"/>
    <m/>
    <s v="MJ2739"/>
    <m/>
    <s v="WISNU"/>
    <m/>
    <s v="HANIF"/>
    <m/>
    <s v="SERVICE HANDPHONE"/>
    <m/>
    <x v="0"/>
    <m/>
    <s v="ARI MARWAN"/>
    <m/>
    <x v="0"/>
    <m/>
    <s v="Achmad Indrawanto"/>
    <m/>
    <s v="FLEXIBEL FINGERPRINT"/>
    <m/>
    <s v="SAMSUNG"/>
    <m/>
    <s v="Samsung A16 4G"/>
    <m/>
    <s v="JASA71"/>
    <m/>
    <s v="JASA REPAIR"/>
    <m/>
    <n v="0"/>
    <m/>
    <n v="1"/>
    <m/>
    <n v="105000"/>
    <m/>
    <n v="105000"/>
    <m/>
    <s v="TEGAR PUTRA YANSA SALES"/>
    <m/>
    <s v="N/A"/>
  </r>
  <r>
    <m/>
    <x v="11"/>
    <m/>
    <s v="MF-FP.24957"/>
    <m/>
    <s v="MF-ST.22435"/>
    <m/>
    <d v="2026-05-04T00:00:00"/>
    <m/>
    <s v="Member Reguler"/>
    <m/>
    <s v="MJ2739"/>
    <m/>
    <s v="WISNU"/>
    <m/>
    <s v="HANIF"/>
    <m/>
    <s v="SERVICE HANDPHONE"/>
    <m/>
    <x v="2"/>
    <m/>
    <s v="ARI MARWAN"/>
    <m/>
    <x v="0"/>
    <m/>
    <s v="Achmad Indrawanto"/>
    <m/>
    <s v="FLEXIBEL FINGERPRINT"/>
    <m/>
    <s v="SAMSUNG"/>
    <m/>
    <s v="Samsung A16 4G"/>
    <m/>
    <s v="AKOR-014"/>
    <m/>
    <s v="ORAIMO CABLE TYPE-C 2A OCD-114C"/>
    <m/>
    <n v="15000"/>
    <m/>
    <n v="1"/>
    <m/>
    <n v="25000"/>
    <m/>
    <n v="25000"/>
    <m/>
    <s v="TEGAR PUTRA YANSA SALES"/>
    <m/>
    <s v="N/A"/>
  </r>
  <r>
    <m/>
    <x v="11"/>
    <m/>
    <s v="MF-FP.24957"/>
    <m/>
    <m/>
    <m/>
    <m/>
    <m/>
    <m/>
    <m/>
    <s v="MJ2739"/>
    <m/>
    <s v="WISNU"/>
    <m/>
    <m/>
    <m/>
    <s v="SERVICE HANDPHONE"/>
    <m/>
    <x v="1"/>
    <m/>
    <m/>
    <m/>
    <x v="0"/>
    <m/>
    <s v="Achmad Indrawanto"/>
    <m/>
    <m/>
    <m/>
    <m/>
    <m/>
    <m/>
    <m/>
    <s v="107063"/>
    <m/>
    <s v="FLFNG SAM A16"/>
    <m/>
    <n v="53632.075471999997"/>
    <m/>
    <n v="1"/>
    <m/>
    <n v="70000"/>
    <m/>
    <n v="70000"/>
    <m/>
    <s v="TEGAR PUTRA YANSA SALES"/>
    <m/>
    <s v="N/A"/>
  </r>
  <r>
    <m/>
    <x v="11"/>
    <m/>
    <s v="MF-FP.24939"/>
    <m/>
    <s v="MF-ST.22441"/>
    <m/>
    <d v="2026-05-05T00:00:00"/>
    <m/>
    <s v="Umum"/>
    <m/>
    <s v="C.13185"/>
    <m/>
    <s v="YAYAT"/>
    <m/>
    <s v="HANIF"/>
    <m/>
    <s v="SERVICE HANDPHONE"/>
    <m/>
    <x v="0"/>
    <m/>
    <s v="EKO RISDIYANTORO JATIMULYA"/>
    <m/>
    <x v="2"/>
    <m/>
    <s v="HANIF"/>
    <m/>
    <s v="HARDWARE"/>
    <m/>
    <s v="OPPO"/>
    <m/>
    <s v="A5S"/>
    <m/>
    <s v="JASA71"/>
    <m/>
    <s v="JASA REPAIR"/>
    <m/>
    <n v="0"/>
    <m/>
    <n v="1"/>
    <m/>
    <n v="90000"/>
    <m/>
    <n v="90000"/>
    <m/>
    <s v="MUHAMAD NUR HANIF"/>
    <m/>
    <s v="N/A"/>
  </r>
  <r>
    <m/>
    <x v="11"/>
    <m/>
    <s v="MF-FP.24939"/>
    <m/>
    <s v="MF-ST.22441"/>
    <m/>
    <d v="2026-05-05T00:00:00"/>
    <m/>
    <s v="Umum"/>
    <m/>
    <s v="C.13185"/>
    <m/>
    <s v="YAYAT"/>
    <m/>
    <s v="HANIF"/>
    <m/>
    <s v="SERVICE HANDPHONE"/>
    <m/>
    <x v="1"/>
    <m/>
    <s v="EKO RISDIYANTORO JATIMULYA"/>
    <m/>
    <x v="2"/>
    <m/>
    <s v="HANIF"/>
    <m/>
    <s v="HARDWARE"/>
    <m/>
    <s v="OPPO"/>
    <m/>
    <s v="A5S"/>
    <m/>
    <s v="101904"/>
    <m/>
    <s v="PERNIK TBL O/F + VLM  OPP A5s/OPP A12/OPP A7"/>
    <m/>
    <n v="6612.7272730000004"/>
    <m/>
    <n v="1"/>
    <m/>
    <n v="20000"/>
    <m/>
    <n v="20000"/>
    <m/>
    <s v="MUHAMAD NUR HANIF"/>
    <m/>
    <s v="N/A"/>
  </r>
  <r>
    <m/>
    <x v="11"/>
    <m/>
    <s v="MF-FP.24939"/>
    <m/>
    <s v="MF-ST.22441"/>
    <m/>
    <d v="2026-05-05T00:00:00"/>
    <m/>
    <s v="Umum"/>
    <m/>
    <s v="C.13185"/>
    <m/>
    <s v="YAYAT"/>
    <m/>
    <s v="HANIF"/>
    <m/>
    <s v="SERVICE HANDPHONE"/>
    <m/>
    <x v="2"/>
    <m/>
    <s v="EKO RISDIYANTORO JATIMULYA"/>
    <m/>
    <x v="2"/>
    <m/>
    <s v="HANIF"/>
    <m/>
    <s v="HARDWARE"/>
    <m/>
    <s v="OPPO"/>
    <m/>
    <s v="A5S"/>
    <m/>
    <s v="AKOR-014"/>
    <m/>
    <s v="ORAIMO CABLE TYPE-C 2A OCD-114C"/>
    <m/>
    <n v="15000"/>
    <m/>
    <n v="1"/>
    <m/>
    <n v="20000"/>
    <m/>
    <n v="20000"/>
    <m/>
    <s v="MUHAMAD NUR HANIF"/>
    <m/>
    <s v="N/A"/>
  </r>
  <r>
    <m/>
    <x v="11"/>
    <m/>
    <s v="MF-FP.24940"/>
    <m/>
    <s v="MF-ST.22359"/>
    <m/>
    <d v="2026-05-02T00:00:00"/>
    <m/>
    <s v="Umum"/>
    <m/>
    <s v="C.10107"/>
    <m/>
    <s v="ABI"/>
    <m/>
    <s v="WAHYU PRATAMA"/>
    <m/>
    <s v="SERVICE HANDPHONE"/>
    <m/>
    <x v="0"/>
    <m/>
    <s v="EKO RISDIYANTORO JATIMULYA"/>
    <m/>
    <x v="2"/>
    <m/>
    <s v="HANIF"/>
    <m/>
    <s v="FLEXIBEL CHARGER (PAPAN KONEKTOR)"/>
    <m/>
    <s v="SAMSUNG"/>
    <m/>
    <s v="a15 4g"/>
    <m/>
    <s v="JASA71"/>
    <m/>
    <s v="JASA REPAIR"/>
    <m/>
    <n v="0"/>
    <m/>
    <n v="1"/>
    <m/>
    <n v="210000"/>
    <m/>
    <n v="210000"/>
    <m/>
    <s v="Achmad Indrawanto"/>
    <m/>
    <s v="N/A"/>
  </r>
  <r>
    <m/>
    <x v="11"/>
    <m/>
    <s v="MF-FP.24940"/>
    <m/>
    <s v="MF-ST.22359"/>
    <m/>
    <d v="2026-05-02T00:00:00"/>
    <m/>
    <s v="Umum"/>
    <m/>
    <s v="C.10107"/>
    <m/>
    <s v="ABI"/>
    <m/>
    <s v="WAHYU PRATAMA"/>
    <m/>
    <s v="SERVICE HANDPHONE"/>
    <m/>
    <x v="1"/>
    <m/>
    <s v="EKO RISDIYANTORO JATIMULYA"/>
    <m/>
    <x v="2"/>
    <m/>
    <s v="HANIF"/>
    <m/>
    <s v="FLEXIBEL CHARGER (PAPAN KONEKTOR)"/>
    <m/>
    <s v="SAMSUNG"/>
    <m/>
    <s v="a15 4g"/>
    <m/>
    <s v="105679"/>
    <m/>
    <s v="FLCRG SAM A15"/>
    <m/>
    <n v="17500"/>
    <m/>
    <n v="1"/>
    <m/>
    <n v="45000"/>
    <m/>
    <n v="45000"/>
    <m/>
    <s v="Achmad Indrawanto"/>
    <m/>
    <s v="N/A"/>
  </r>
  <r>
    <m/>
    <x v="11"/>
    <m/>
    <s v="MF-FP.24940"/>
    <m/>
    <s v="MF-ST.22359"/>
    <m/>
    <d v="2026-05-02T00:00:00"/>
    <m/>
    <s v="Umum"/>
    <m/>
    <s v="C.10107"/>
    <m/>
    <s v="ABI"/>
    <m/>
    <s v="WAHYU PRATAMA"/>
    <m/>
    <s v="SERVICE HANDPHONE"/>
    <m/>
    <x v="2"/>
    <m/>
    <s v="EKO RISDIYANTORO JATIMULYA"/>
    <m/>
    <x v="2"/>
    <m/>
    <s v="HANIF"/>
    <m/>
    <s v="FLEXIBEL CHARGER (PAPAN KONEKTOR)"/>
    <m/>
    <s v="SAMSUNG"/>
    <m/>
    <s v="a15 4g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11"/>
    <m/>
    <s v="MF-FP.24941"/>
    <m/>
    <s v="MF-ST.22445"/>
    <m/>
    <d v="2026-05-05T00:00:00"/>
    <m/>
    <s v="Member Reguler"/>
    <m/>
    <s v="C.05920"/>
    <m/>
    <s v="RIKI"/>
    <m/>
    <s v="HANIF"/>
    <m/>
    <s v="SERVICE HANDPHONE"/>
    <m/>
    <x v="0"/>
    <m/>
    <s v="EKO RISDIYANTORO JATIMULYA"/>
    <m/>
    <x v="2"/>
    <m/>
    <s v="HANIF"/>
    <m/>
    <s v="HARDWARE"/>
    <m/>
    <s v="SAMSUNG"/>
    <m/>
    <s v="A13"/>
    <m/>
    <s v="JASA71"/>
    <m/>
    <s v="JASA REPAIR"/>
    <m/>
    <n v="0"/>
    <m/>
    <n v="1"/>
    <m/>
    <n v="200000"/>
    <m/>
    <n v="200000"/>
    <m/>
    <s v="Achmad Indrawanto"/>
    <m/>
    <s v="N/A"/>
  </r>
  <r>
    <m/>
    <x v="11"/>
    <m/>
    <s v="MF-FP.24941"/>
    <m/>
    <s v="MF-ST.22445"/>
    <m/>
    <d v="2026-05-05T00:00:00"/>
    <m/>
    <s v="Member Reguler"/>
    <m/>
    <s v="C.05920"/>
    <m/>
    <s v="RIKI"/>
    <m/>
    <s v="HANIF"/>
    <m/>
    <s v="SERVICE HANDPHONE"/>
    <m/>
    <x v="1"/>
    <m/>
    <s v="EKO RISDIYANTORO JATIMULYA"/>
    <m/>
    <x v="2"/>
    <m/>
    <s v="HANIF"/>
    <m/>
    <s v="HARDWARE"/>
    <m/>
    <s v="SAMSUNG"/>
    <m/>
    <s v="A13"/>
    <m/>
    <s v="100323"/>
    <m/>
    <s v="FLCRG SAM A13 4G"/>
    <m/>
    <n v="14166.666667"/>
    <m/>
    <n v="1"/>
    <m/>
    <n v="30000"/>
    <m/>
    <n v="30000"/>
    <m/>
    <s v="Achmad Indrawanto"/>
    <m/>
    <s v="N/A"/>
  </r>
  <r>
    <m/>
    <x v="11"/>
    <m/>
    <s v="MF-FP.24941"/>
    <m/>
    <s v="MF-ST.22445"/>
    <m/>
    <d v="2026-05-05T00:00:00"/>
    <m/>
    <s v="Member Reguler"/>
    <m/>
    <s v="C.05920"/>
    <m/>
    <s v="RIKI"/>
    <m/>
    <s v="HANIF"/>
    <m/>
    <s v="SERVICE HANDPHONE"/>
    <m/>
    <x v="2"/>
    <m/>
    <s v="EKO RISDIYANTORO JATIMULYA"/>
    <m/>
    <x v="2"/>
    <m/>
    <s v="HANIF"/>
    <m/>
    <s v="HARDWARE"/>
    <m/>
    <s v="SAMSUNG"/>
    <m/>
    <s v="A13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11"/>
    <m/>
    <s v="MF-FP.24942"/>
    <m/>
    <s v="MF-ST.22406"/>
    <m/>
    <d v="2026-05-03T00:00:00"/>
    <m/>
    <s v="Member Reguler"/>
    <m/>
    <s v="C.13116"/>
    <m/>
    <s v="CITRA"/>
    <m/>
    <s v="HANIF"/>
    <m/>
    <s v="SERVICE HANDPHONE"/>
    <m/>
    <x v="0"/>
    <m/>
    <s v="MUSTOFA"/>
    <m/>
    <x v="1"/>
    <m/>
    <s v="HANIF"/>
    <m/>
    <s v="BATERAI"/>
    <m/>
    <s v="SAMSUNG"/>
    <m/>
    <s v="Samsung note 9"/>
    <m/>
    <s v="JASA71"/>
    <m/>
    <s v="JASA REPAIR"/>
    <m/>
    <n v="0"/>
    <m/>
    <n v="1"/>
    <m/>
    <n v="190000"/>
    <m/>
    <n v="190000"/>
    <m/>
    <s v="Achmad Indrawanto"/>
    <m/>
    <s v="N/A"/>
  </r>
  <r>
    <m/>
    <x v="11"/>
    <m/>
    <s v="MF-FP.24942"/>
    <m/>
    <s v="MF-ST.22406"/>
    <m/>
    <d v="2026-05-03T00:00:00"/>
    <m/>
    <s v="Member Reguler"/>
    <m/>
    <s v="C.13116"/>
    <m/>
    <s v="CITRA"/>
    <m/>
    <s v="HANIF"/>
    <m/>
    <s v="SERVICE HANDPHONE"/>
    <m/>
    <x v="1"/>
    <m/>
    <s v="MUSTOFA"/>
    <m/>
    <x v="1"/>
    <m/>
    <s v="HANIF"/>
    <m/>
    <s v="BATERAI"/>
    <m/>
    <s v="SAMSUNG"/>
    <m/>
    <s v="Samsung note 9"/>
    <m/>
    <s v="100454"/>
    <m/>
    <s v="BATER SAM NOTE 9"/>
    <m/>
    <n v="97500"/>
    <m/>
    <n v="1"/>
    <m/>
    <n v="140000"/>
    <m/>
    <n v="140000"/>
    <m/>
    <s v="Achmad Indrawanto"/>
    <m/>
    <s v="N/A"/>
  </r>
  <r>
    <m/>
    <x v="11"/>
    <m/>
    <s v="MF-FP.24942"/>
    <m/>
    <s v="MF-ST.22406"/>
    <m/>
    <d v="2026-05-03T00:00:00"/>
    <m/>
    <s v="Member Reguler"/>
    <m/>
    <s v="C.13116"/>
    <m/>
    <s v="CITRA"/>
    <m/>
    <s v="HANIF"/>
    <m/>
    <s v="SERVICE HANDPHONE"/>
    <m/>
    <x v="2"/>
    <m/>
    <s v="MUSTOFA"/>
    <m/>
    <x v="1"/>
    <m/>
    <s v="HANIF"/>
    <m/>
    <s v="BATERAI"/>
    <m/>
    <s v="SAMSUNG"/>
    <m/>
    <s v="Samsung note 9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11"/>
    <m/>
    <s v="MF-FP.24948"/>
    <m/>
    <s v="MF-ST.22444"/>
    <m/>
    <d v="2026-05-05T00:00:00"/>
    <m/>
    <s v="Umum"/>
    <m/>
    <s v="C.13187"/>
    <m/>
    <s v="KURNIAWAN"/>
    <m/>
    <s v="HANIF"/>
    <m/>
    <s v="SERVICE HANDPHONE"/>
    <m/>
    <x v="0"/>
    <m/>
    <s v="EKO RISDIYANTORO JATIMULYA"/>
    <m/>
    <x v="2"/>
    <m/>
    <s v="HANIF"/>
    <m/>
    <s v="LCD"/>
    <m/>
    <s v="SAMSUNG"/>
    <m/>
    <s v="samsung a70"/>
    <m/>
    <s v="JASA71"/>
    <m/>
    <s v="JASA REPAIR"/>
    <m/>
    <n v="0"/>
    <m/>
    <n v="1"/>
    <m/>
    <n v="160000"/>
    <m/>
    <n v="160000"/>
    <m/>
    <s v="MUHAMAD NUR HANIF"/>
    <m/>
    <s v="N/A"/>
  </r>
  <r>
    <m/>
    <x v="11"/>
    <m/>
    <s v="MF-FP.24948"/>
    <m/>
    <s v="MF-ST.22444"/>
    <m/>
    <d v="2026-05-05T00:00:00"/>
    <m/>
    <s v="Umum"/>
    <m/>
    <s v="C.13187"/>
    <m/>
    <s v="KURNIAWAN"/>
    <m/>
    <s v="HANIF"/>
    <m/>
    <s v="SERVICE HANDPHONE"/>
    <m/>
    <x v="1"/>
    <m/>
    <s v="EKO RISDIYANTORO JATIMULYA"/>
    <m/>
    <x v="2"/>
    <m/>
    <s v="HANIF"/>
    <m/>
    <s v="LCD"/>
    <m/>
    <s v="SAMSUNG"/>
    <m/>
    <s v="samsung a70"/>
    <m/>
    <s v="100198"/>
    <m/>
    <s v="LCD.. SAM A70 A705 A705F B"/>
    <m/>
    <n v="175500"/>
    <m/>
    <n v="1"/>
    <m/>
    <n v="265000"/>
    <m/>
    <n v="265000"/>
    <m/>
    <s v="MUHAMAD NUR HANIF"/>
    <m/>
    <s v="N/A"/>
  </r>
  <r>
    <m/>
    <x v="11"/>
    <m/>
    <s v="MF-FP.24948"/>
    <m/>
    <s v="MF-ST.22444"/>
    <m/>
    <d v="2026-05-05T00:00:00"/>
    <m/>
    <s v="Umum"/>
    <m/>
    <s v="C.13187"/>
    <m/>
    <s v="KURNIAWAN"/>
    <m/>
    <s v="HANIF"/>
    <m/>
    <s v="SERVICE HANDPHONE"/>
    <m/>
    <x v="2"/>
    <m/>
    <s v="EKO RISDIYANTORO JATIMULYA"/>
    <m/>
    <x v="2"/>
    <m/>
    <s v="HANIF"/>
    <m/>
    <s v="LCD"/>
    <m/>
    <s v="SAMSUNG"/>
    <m/>
    <s v="samsung a70"/>
    <m/>
    <s v="100025"/>
    <m/>
    <s v="VIVAN HYDROGEL BASIC CRYSTAL CLEAR VSP01T"/>
    <m/>
    <n v="11151.582562"/>
    <m/>
    <n v="1"/>
    <m/>
    <n v="75000"/>
    <m/>
    <n v="75000"/>
    <m/>
    <s v="MUHAMAD NUR HANIF"/>
    <m/>
    <s v="N/A"/>
  </r>
  <r>
    <m/>
    <x v="11"/>
    <m/>
    <s v="MF-FP.24944"/>
    <m/>
    <s v="MF-ST.22446"/>
    <m/>
    <d v="2026-05-05T00:00:00"/>
    <m/>
    <s v="Member Reguler"/>
    <m/>
    <s v="MJ2883"/>
    <m/>
    <s v="RIO"/>
    <m/>
    <s v="HANIF"/>
    <m/>
    <s v="SERVICE HANDPHONE"/>
    <m/>
    <x v="0"/>
    <m/>
    <s v="EKO RISDIYANTORO JATIMULYA"/>
    <m/>
    <x v="2"/>
    <m/>
    <s v="HANIF"/>
    <m/>
    <s v="BATERAI"/>
    <m/>
    <s v="XIAOMI"/>
    <m/>
    <s v="REDMI NOTE 9"/>
    <m/>
    <s v="JASA71"/>
    <m/>
    <s v="JASA REPAIR"/>
    <m/>
    <n v="0"/>
    <m/>
    <n v="1"/>
    <m/>
    <n v="165000"/>
    <m/>
    <n v="165000"/>
    <m/>
    <s v="CHANDRA PRADITYA GUNAWAN"/>
    <m/>
    <s v="N/A"/>
  </r>
  <r>
    <m/>
    <x v="11"/>
    <m/>
    <s v="MF-FP.24946"/>
    <m/>
    <s v="MF-ST.22448"/>
    <m/>
    <d v="2026-05-05T00:00:00"/>
    <m/>
    <s v="Umum"/>
    <m/>
    <s v="C.12521"/>
    <m/>
    <s v="KHOIRUL SOLEH"/>
    <m/>
    <s v="HANIF"/>
    <m/>
    <s v="PENJUALAN HANDPHONE"/>
    <m/>
    <x v="3"/>
    <m/>
    <s v="N/A"/>
    <m/>
    <x v="5"/>
    <m/>
    <s v="HANIF"/>
    <m/>
    <s v="N/A"/>
    <m/>
    <s v="INFINIX"/>
    <m/>
    <s v="SMART 8 PRO"/>
    <m/>
    <s v="104826"/>
    <m/>
    <s v="INFINIX SMART 8 PRO 8/128GB SECOND"/>
    <m/>
    <n v="1175000"/>
    <m/>
    <n v="1"/>
    <m/>
    <n v="1575000"/>
    <m/>
    <n v="1575000"/>
    <m/>
    <m/>
    <m/>
    <s v="N/A"/>
  </r>
  <r>
    <m/>
    <x v="11"/>
    <m/>
    <s v="MF-FP.24944"/>
    <m/>
    <s v="MF-ST.22446"/>
    <m/>
    <d v="2026-05-05T00:00:00"/>
    <m/>
    <s v="Member Reguler"/>
    <m/>
    <s v="MJ2883"/>
    <m/>
    <s v="RIO"/>
    <m/>
    <s v="HANIF"/>
    <m/>
    <s v="SERVICE HANDPHONE"/>
    <m/>
    <x v="1"/>
    <m/>
    <s v="EKO RISDIYANTORO JATIMULYA"/>
    <m/>
    <x v="2"/>
    <m/>
    <s v="HANIF"/>
    <m/>
    <s v="BATERAI"/>
    <m/>
    <s v="XIAOMI"/>
    <m/>
    <s v="REDMI NOTE 9"/>
    <m/>
    <s v="100261"/>
    <m/>
    <s v="BATER XIO REDMI 9/REDMI NOTE 9 BN54"/>
    <m/>
    <n v="112144.93881599999"/>
    <m/>
    <n v="1"/>
    <m/>
    <n v="140000"/>
    <m/>
    <n v="140000"/>
    <m/>
    <s v="CHANDRA PRADITYA GUNAWAN"/>
    <m/>
    <s v="N/A"/>
  </r>
  <r>
    <m/>
    <x v="11"/>
    <m/>
    <s v="MF-FP.24946"/>
    <m/>
    <s v="MF-ST.22448"/>
    <m/>
    <d v="2026-05-05T00:00:00"/>
    <m/>
    <s v="Umum"/>
    <m/>
    <s v="C.12521"/>
    <m/>
    <s v="KHOIRUL SOLEH"/>
    <m/>
    <s v="HANIF"/>
    <m/>
    <s v="PENJUALAN HANDPHONE"/>
    <m/>
    <x v="2"/>
    <m/>
    <s v="N/A"/>
    <m/>
    <x v="5"/>
    <m/>
    <s v="HANIF"/>
    <m/>
    <s v="N/A"/>
    <m/>
    <s v="INFINIX"/>
    <m/>
    <s v="SMART 8 PRO"/>
    <m/>
    <s v="100025"/>
    <m/>
    <s v="VIVAN HYDROGEL BASIC CRYSTAL CLEAR VSP01T"/>
    <m/>
    <n v="11151.582562"/>
    <m/>
    <n v="1"/>
    <m/>
    <n v="25000"/>
    <m/>
    <n v="25000"/>
    <m/>
    <m/>
    <m/>
    <s v="N/A"/>
  </r>
  <r>
    <m/>
    <x v="11"/>
    <m/>
    <s v="MF-FP.24944"/>
    <m/>
    <s v="MF-ST.22446"/>
    <m/>
    <d v="2026-05-05T00:00:00"/>
    <m/>
    <s v="Member Reguler"/>
    <m/>
    <s v="MJ2883"/>
    <m/>
    <s v="RIO"/>
    <m/>
    <s v="HANIF"/>
    <m/>
    <s v="SERVICE HANDPHONE"/>
    <m/>
    <x v="2"/>
    <m/>
    <s v="EKO RISDIYANTORO JATIMULYA"/>
    <m/>
    <x v="2"/>
    <m/>
    <s v="HANIF"/>
    <m/>
    <s v="BATERAI"/>
    <m/>
    <s v="XIAOMI"/>
    <m/>
    <s v="REDMI NOTE 9"/>
    <m/>
    <s v="AKOR-014"/>
    <m/>
    <s v="ORAIMO CABLE TYPE-C 2A OCD-114C"/>
    <m/>
    <n v="15000"/>
    <m/>
    <n v="1"/>
    <m/>
    <n v="20000"/>
    <m/>
    <n v="20000"/>
    <m/>
    <s v="CHANDRA PRADITYA GUNAWAN"/>
    <m/>
    <s v="N/A"/>
  </r>
  <r>
    <m/>
    <x v="11"/>
    <m/>
    <s v="MF-FP.24947"/>
    <m/>
    <s v="MF-ST.22449"/>
    <m/>
    <d v="2026-05-05T00:00:00"/>
    <m/>
    <s v="Umum"/>
    <m/>
    <s v="C.13189"/>
    <m/>
    <s v="Ryan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4870"/>
    <m/>
    <s v="VIVAN CHARGER POWER PORT BLACK"/>
    <m/>
    <n v="55000"/>
    <m/>
    <n v="1"/>
    <m/>
    <n v="120000"/>
    <m/>
    <n v="120000"/>
    <m/>
    <m/>
    <m/>
    <s v="N/A"/>
  </r>
  <r>
    <m/>
    <x v="11"/>
    <m/>
    <s v="MF-FP.24945"/>
    <m/>
    <s v="MF-ST.22447"/>
    <m/>
    <d v="2026-05-05T00:00:00"/>
    <m/>
    <s v="Member Reguler"/>
    <m/>
    <s v="MJ3060"/>
    <m/>
    <s v="LISYA SUSIANA"/>
    <m/>
    <s v="HANIF"/>
    <m/>
    <s v="SERVICE HANDPHONE"/>
    <m/>
    <x v="0"/>
    <m/>
    <s v="EKO RISDIYANTORO JATIMULYA"/>
    <m/>
    <x v="2"/>
    <m/>
    <s v="HANIF"/>
    <m/>
    <s v="HARDWARE"/>
    <m/>
    <s v="XIAOMI"/>
    <m/>
    <s v="poco m3"/>
    <m/>
    <s v="JASA71"/>
    <m/>
    <s v="JASA REPAIR"/>
    <m/>
    <n v="0"/>
    <m/>
    <n v="1"/>
    <m/>
    <n v="160000"/>
    <m/>
    <n v="160000"/>
    <m/>
    <s v="TEGAR PUTRA YANSA SALES"/>
    <m/>
    <s v="N/A"/>
  </r>
  <r>
    <m/>
    <x v="11"/>
    <m/>
    <s v="MF-FP.24945"/>
    <m/>
    <s v="MF-ST.22447"/>
    <m/>
    <d v="2026-05-05T00:00:00"/>
    <m/>
    <s v="Member Reguler"/>
    <m/>
    <s v="MJ3060"/>
    <m/>
    <s v="LISYA SUSIANA"/>
    <m/>
    <s v="HANIF"/>
    <m/>
    <s v="SERVICE HANDPHONE"/>
    <m/>
    <x v="1"/>
    <m/>
    <s v="EKO RISDIYANTORO JATIMULYA"/>
    <m/>
    <x v="2"/>
    <m/>
    <s v="HANIF"/>
    <m/>
    <s v="HARDWARE"/>
    <m/>
    <s v="XIAOMI"/>
    <m/>
    <s v="poco m3"/>
    <m/>
    <s v="104990"/>
    <m/>
    <s v="FLOFV XIO REDMI 9T/POCO M3"/>
    <m/>
    <n v="7600"/>
    <m/>
    <n v="1"/>
    <m/>
    <n v="20000"/>
    <m/>
    <n v="20000"/>
    <m/>
    <s v="TEGAR PUTRA YANSA SALES"/>
    <m/>
    <s v="N/A"/>
  </r>
  <r>
    <m/>
    <x v="11"/>
    <m/>
    <s v="MF-FP.24945"/>
    <m/>
    <s v="MF-ST.22447"/>
    <m/>
    <d v="2026-05-05T00:00:00"/>
    <m/>
    <s v="Member Reguler"/>
    <m/>
    <s v="MJ3060"/>
    <m/>
    <s v="LISYA SUSIANA"/>
    <m/>
    <s v="HANIF"/>
    <m/>
    <s v="SERVICE HANDPHONE"/>
    <m/>
    <x v="2"/>
    <m/>
    <s v="EKO RISDIYANTORO JATIMULYA"/>
    <m/>
    <x v="2"/>
    <m/>
    <s v="HANIF"/>
    <m/>
    <s v="HARDWARE"/>
    <m/>
    <s v="XIAOMI"/>
    <m/>
    <s v="poco m3"/>
    <m/>
    <s v="AKOR-014"/>
    <m/>
    <s v="ORAIMO CABLE TYPE-C 2A OCD-114C"/>
    <m/>
    <n v="15000"/>
    <m/>
    <n v="1"/>
    <m/>
    <n v="20000"/>
    <m/>
    <n v="20000"/>
    <m/>
    <s v="TEGAR PUTRA YANSA SALES"/>
    <m/>
    <s v="N/A"/>
  </r>
  <r>
    <m/>
    <x v="11"/>
    <m/>
    <s v="MF-FP.24949"/>
    <m/>
    <s v="MF-ST.22453"/>
    <m/>
    <d v="2026-05-05T00:00:00"/>
    <m/>
    <s v="Umum"/>
    <m/>
    <s v="C.13191"/>
    <m/>
    <s v="FANDI"/>
    <m/>
    <s v="HANIF"/>
    <m/>
    <s v="SERVICE HANDPHONE"/>
    <m/>
    <x v="0"/>
    <m/>
    <s v="EKO RISDIYANTORO JATIMULYA"/>
    <m/>
    <x v="2"/>
    <m/>
    <s v="HANIF"/>
    <m/>
    <s v="HARDWARE"/>
    <m/>
    <s v="OPPO"/>
    <m/>
    <s v="RENO 6"/>
    <m/>
    <s v="JASA71"/>
    <m/>
    <s v="JASA REPAIR"/>
    <m/>
    <n v="0"/>
    <m/>
    <n v="1"/>
    <m/>
    <n v="150000"/>
    <m/>
    <n v="150000"/>
    <m/>
    <s v="HANIF"/>
    <m/>
    <s v="N/A"/>
  </r>
  <r>
    <m/>
    <x v="11"/>
    <m/>
    <s v="MF-FP.24949"/>
    <m/>
    <s v="MF-ST.22453"/>
    <m/>
    <d v="2026-05-05T00:00:00"/>
    <m/>
    <s v="Umum"/>
    <m/>
    <s v="C.13191"/>
    <m/>
    <s v="FANDI"/>
    <m/>
    <s v="HANIF"/>
    <m/>
    <s v="SERVICE HANDPHONE"/>
    <m/>
    <x v="2"/>
    <m/>
    <s v="EKO RISDIYANTORO JATIMULYA"/>
    <m/>
    <x v="2"/>
    <m/>
    <s v="HANIF"/>
    <m/>
    <s v="HARDWARE"/>
    <m/>
    <s v="OPPO"/>
    <m/>
    <s v="RENO 6"/>
    <m/>
    <s v="100025"/>
    <m/>
    <s v="VIVAN HYDROGEL BASIC CRYSTAL CLEAR VSP01T"/>
    <m/>
    <n v="11151.582562"/>
    <m/>
    <n v="1"/>
    <m/>
    <n v="75000"/>
    <m/>
    <n v="75000"/>
    <m/>
    <s v="HANIF"/>
    <m/>
    <s v="N/A"/>
  </r>
  <r>
    <m/>
    <x v="11"/>
    <m/>
    <s v="MF-FP.24951"/>
    <m/>
    <s v="MF-ST.22454"/>
    <m/>
    <d v="2026-05-05T00:00:00"/>
    <m/>
    <s v="Umum"/>
    <m/>
    <s v="C.00000"/>
    <m/>
    <s v="Pelanggan Umum"/>
    <m/>
    <s v="HANIF"/>
    <m/>
    <s v="SERVICE LAPTOP"/>
    <m/>
    <x v="0"/>
    <m/>
    <s v="ARIFIN SANTOSO JATIMULYA"/>
    <m/>
    <x v="6"/>
    <m/>
    <s v="HANIF"/>
    <m/>
    <s v="REPAIR"/>
    <m/>
    <s v="BELUM ADA MERK"/>
    <m/>
    <s v="n/"/>
    <m/>
    <s v="JASA71"/>
    <m/>
    <s v="JASA REPAIR"/>
    <m/>
    <n v="0"/>
    <m/>
    <n v="1"/>
    <m/>
    <n v="100000"/>
    <m/>
    <n v="100000"/>
    <m/>
    <m/>
    <m/>
    <s v="N/A"/>
  </r>
  <r>
    <m/>
    <x v="11"/>
    <m/>
    <s v="MF-FP.24955"/>
    <m/>
    <s v="MF-ST.22451"/>
    <m/>
    <d v="2026-05-05T00:00:00"/>
    <m/>
    <s v="Member Reguler"/>
    <m/>
    <s v="C.05474"/>
    <m/>
    <s v="RANDI"/>
    <m/>
    <s v="HANIF"/>
    <m/>
    <s v="SERVICE HANDPHONE"/>
    <m/>
    <x v="1"/>
    <m/>
    <s v="EKO RISDIYANTORO JATIMULYA"/>
    <m/>
    <x v="2"/>
    <m/>
    <s v="Achmad Indrawanto"/>
    <m/>
    <s v="LCD"/>
    <m/>
    <s v="SAMSUNG"/>
    <m/>
    <s v="a32 5g"/>
    <m/>
    <s v="100757"/>
    <m/>
    <s v="LCD.. SAM A02/A12/A32 5G/M02/M12 B FST"/>
    <m/>
    <n v="114469.34540200001"/>
    <m/>
    <n v="1"/>
    <m/>
    <n v="200000"/>
    <m/>
    <n v="200000"/>
    <m/>
    <s v="Achmad Indrawanto"/>
    <m/>
    <s v="N/A"/>
  </r>
  <r>
    <m/>
    <x v="11"/>
    <m/>
    <s v="MF-FP.24952"/>
    <m/>
    <s v="MF-ST.22455"/>
    <m/>
    <d v="2026-05-05T00:00:00"/>
    <m/>
    <s v="Umum"/>
    <m/>
    <s v="C.13192"/>
    <m/>
    <s v="PRIMA"/>
    <m/>
    <s v="HANIF"/>
    <m/>
    <s v="SERVICE HANDPHONE"/>
    <m/>
    <x v="0"/>
    <m/>
    <s v="ARI MARWAN"/>
    <m/>
    <x v="0"/>
    <m/>
    <s v="Achmad Indrawanto"/>
    <m/>
    <s v="HARDWARE"/>
    <m/>
    <s v="REALME"/>
    <m/>
    <s v="Realme 5i"/>
    <m/>
    <s v="JASA71"/>
    <m/>
    <s v="JASA REPAIR"/>
    <m/>
    <n v="0"/>
    <m/>
    <n v="1"/>
    <m/>
    <n v="125000"/>
    <m/>
    <n v="125000"/>
    <m/>
    <s v="Achmad Indrawanto"/>
    <m/>
    <s v="N/A"/>
  </r>
  <r>
    <m/>
    <x v="11"/>
    <m/>
    <s v="MF-FP.24952"/>
    <m/>
    <s v="MF-ST.22455"/>
    <m/>
    <d v="2026-05-05T00:00:00"/>
    <m/>
    <s v="Umum"/>
    <m/>
    <s v="C.13192"/>
    <m/>
    <s v="PRIMA"/>
    <m/>
    <s v="HANIF"/>
    <m/>
    <s v="SERVICE HANDPHONE"/>
    <m/>
    <x v="2"/>
    <m/>
    <s v="ARI MARWAN"/>
    <m/>
    <x v="0"/>
    <m/>
    <s v="Achmad Indrawanto"/>
    <m/>
    <s v="HARDWARE"/>
    <m/>
    <s v="REALME"/>
    <m/>
    <s v="Realme 5i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1"/>
    <m/>
    <s v="MF-FP.24955"/>
    <m/>
    <s v="MF-ST.22451"/>
    <m/>
    <d v="2026-05-05T00:00:00"/>
    <m/>
    <s v="Member Reguler"/>
    <m/>
    <s v="C.05474"/>
    <m/>
    <s v="RANDI"/>
    <m/>
    <s v="HANIF"/>
    <m/>
    <s v="SERVICE HANDPHONE"/>
    <m/>
    <x v="2"/>
    <m/>
    <s v="EKO RISDIYANTORO JATIMULYA"/>
    <m/>
    <x v="2"/>
    <m/>
    <s v="Achmad Indrawanto"/>
    <m/>
    <s v="LCD"/>
    <m/>
    <s v="SAMSUNG"/>
    <m/>
    <s v="a32 5g"/>
    <m/>
    <s v="100025"/>
    <m/>
    <s v="VIVAN HYDROGEL BASIC CRYSTAL CLEAR VSP01T"/>
    <m/>
    <n v="11151.582562"/>
    <m/>
    <n v="1"/>
    <m/>
    <n v="75000"/>
    <m/>
    <n v="75000"/>
    <m/>
    <s v="Achmad Indrawanto"/>
    <m/>
    <s v="N/A"/>
  </r>
  <r>
    <m/>
    <x v="11"/>
    <m/>
    <s v="MF-FP.24954"/>
    <m/>
    <s v="MF-ST.22458"/>
    <m/>
    <d v="2026-05-05T00:00:00"/>
    <m/>
    <s v="Member Reguler"/>
    <m/>
    <s v="C.13195"/>
    <m/>
    <s v="TONI"/>
    <m/>
    <s v="Achmad Indrawanto"/>
    <m/>
    <s v="SERVICE HANDPHONE"/>
    <m/>
    <x v="0"/>
    <m/>
    <s v="EKO RISDIYANTORO JATIMULYA"/>
    <m/>
    <x v="2"/>
    <m/>
    <s v="Achmad Indrawanto"/>
    <m/>
    <s v="SOFTWARE"/>
    <m/>
    <s v="SAMSUNG"/>
    <m/>
    <s v="samsung 30"/>
    <m/>
    <s v="JASA71"/>
    <m/>
    <s v="JASA REPAIR"/>
    <m/>
    <n v="0"/>
    <m/>
    <n v="1"/>
    <m/>
    <n v="95000"/>
    <m/>
    <n v="95000"/>
    <m/>
    <s v="Achmad Indrawanto"/>
    <m/>
    <s v="N/A"/>
  </r>
  <r>
    <m/>
    <x v="11"/>
    <m/>
    <s v="MF-FP.24954"/>
    <m/>
    <s v="MF-ST.22458"/>
    <m/>
    <d v="2026-05-05T00:00:00"/>
    <m/>
    <s v="Member Reguler"/>
    <m/>
    <s v="C.13195"/>
    <m/>
    <s v="TONI"/>
    <m/>
    <s v="Achmad Indrawanto"/>
    <m/>
    <s v="SERVICE HANDPHONE"/>
    <m/>
    <x v="2"/>
    <m/>
    <s v="EKO RISDIYANTORO JATIMULYA"/>
    <m/>
    <x v="2"/>
    <m/>
    <s v="Achmad Indrawanto"/>
    <m/>
    <s v="SOFTWARE"/>
    <m/>
    <s v="SAMSUNG"/>
    <m/>
    <s v="samsung 30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1"/>
    <m/>
    <s v="MF-FP.24956"/>
    <m/>
    <s v="MF-ST.22457"/>
    <m/>
    <d v="2026-05-05T00:00:00"/>
    <m/>
    <s v="Member Reguler"/>
    <m/>
    <s v="C.13194"/>
    <m/>
    <s v="BAHAR"/>
    <m/>
    <s v="Achmad Indrawanto"/>
    <m/>
    <s v="SERVICE HANDPHONE"/>
    <m/>
    <x v="0"/>
    <m/>
    <s v="MUSTOFA"/>
    <m/>
    <x v="1"/>
    <m/>
    <s v="Achmad Indrawanto"/>
    <m/>
    <s v="REPAIR"/>
    <m/>
    <s v="REALME"/>
    <m/>
    <s v="Realme 9 pro plus"/>
    <m/>
    <s v="JASA71"/>
    <m/>
    <s v="JASA REPAIR"/>
    <m/>
    <n v="0"/>
    <m/>
    <n v="1"/>
    <m/>
    <n v="125000"/>
    <m/>
    <n v="125000"/>
    <m/>
    <s v="Achmad Indrawanto"/>
    <m/>
    <s v="N/A"/>
  </r>
  <r>
    <m/>
    <x v="11"/>
    <m/>
    <s v="MF-FP.24955"/>
    <m/>
    <s v="MF-ST.22451"/>
    <m/>
    <d v="2026-05-05T00:00:00"/>
    <m/>
    <s v="Member Reguler"/>
    <m/>
    <s v="C.05474"/>
    <m/>
    <s v="RANDI"/>
    <m/>
    <s v="HANIF"/>
    <m/>
    <s v="SERVICE HANDPHONE"/>
    <m/>
    <x v="0"/>
    <m/>
    <s v="EKO RISDIYANTORO JATIMULYA"/>
    <m/>
    <x v="2"/>
    <m/>
    <s v="Achmad Indrawanto"/>
    <m/>
    <s v="LCD"/>
    <m/>
    <s v="SAMSUNG"/>
    <m/>
    <s v="a32 5g"/>
    <m/>
    <s v="JASA71"/>
    <m/>
    <s v="JASA REPAIR"/>
    <m/>
    <n v="0"/>
    <m/>
    <n v="1"/>
    <m/>
    <n v="175000"/>
    <m/>
    <n v="175000"/>
    <m/>
    <s v="Achmad Indrawanto"/>
    <m/>
    <s v="N/A"/>
  </r>
  <r>
    <m/>
    <x v="11"/>
    <m/>
    <s v="MF-FP.24956"/>
    <m/>
    <s v="MF-ST.22457"/>
    <m/>
    <d v="2026-05-05T00:00:00"/>
    <m/>
    <s v="Member Reguler"/>
    <m/>
    <s v="C.13194"/>
    <m/>
    <s v="BAHAR"/>
    <m/>
    <s v="Achmad Indrawanto"/>
    <m/>
    <s v="SERVICE HANDPHONE"/>
    <m/>
    <x v="2"/>
    <m/>
    <s v="MUSTOFA"/>
    <m/>
    <x v="1"/>
    <m/>
    <s v="Achmad Indrawanto"/>
    <m/>
    <s v="REPAIR"/>
    <m/>
    <s v="REALME"/>
    <m/>
    <s v="Realme 9 pro plus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1"/>
    <m/>
    <s v="MF-FP.24962"/>
    <m/>
    <s v="MF-ST.22459"/>
    <m/>
    <d v="2026-05-05T00:00:00"/>
    <m/>
    <s v="Member Reguler"/>
    <m/>
    <s v="C.13196"/>
    <m/>
    <s v="RAMZI"/>
    <m/>
    <s v="Achmad Indrawanto"/>
    <m/>
    <s v="SERVICE HANDPHONE"/>
    <m/>
    <x v="0"/>
    <m/>
    <s v="ARI MARWAN"/>
    <m/>
    <x v="0"/>
    <m/>
    <s v="Achmad Indrawanto"/>
    <m/>
    <s v="LCD"/>
    <m/>
    <s v="INFINIX"/>
    <m/>
    <s v="Infinix hot 30i"/>
    <m/>
    <s v="JASA71"/>
    <m/>
    <s v="JASA REPAIR"/>
    <m/>
    <n v="0"/>
    <m/>
    <n v="1"/>
    <m/>
    <n v="245000"/>
    <m/>
    <n v="245000"/>
    <m/>
    <s v="Achmad Indrawanto"/>
    <m/>
    <s v="N/A"/>
  </r>
  <r>
    <m/>
    <x v="11"/>
    <m/>
    <s v="MF-FP.24962"/>
    <m/>
    <s v="MF-ST.22459"/>
    <m/>
    <d v="2026-05-05T00:00:00"/>
    <m/>
    <s v="Member Reguler"/>
    <m/>
    <s v="C.13196"/>
    <m/>
    <s v="RAMZI"/>
    <m/>
    <s v="Achmad Indrawanto"/>
    <m/>
    <s v="SERVICE HANDPHONE"/>
    <m/>
    <x v="1"/>
    <m/>
    <s v="ARI MARWAN"/>
    <m/>
    <x v="0"/>
    <m/>
    <s v="Achmad Indrawanto"/>
    <m/>
    <s v="LCD"/>
    <m/>
    <s v="INFINIX"/>
    <m/>
    <s v="Infinix hot 30i"/>
    <m/>
    <s v="103948"/>
    <m/>
    <s v="LCD.. INF SMART 7/SMART 7 PLUS/HOT 30i/ITEL S23/ ITEL A70 B"/>
    <m/>
    <n v="115000"/>
    <m/>
    <n v="1"/>
    <m/>
    <n v="180000"/>
    <m/>
    <n v="180000"/>
    <m/>
    <s v="Achmad Indrawanto"/>
    <m/>
    <s v="N/A"/>
  </r>
  <r>
    <m/>
    <x v="11"/>
    <m/>
    <s v="MF-FP.24943"/>
    <m/>
    <s v="MF-ST.22341"/>
    <m/>
    <d v="2026-05-01T00:00:00"/>
    <m/>
    <s v="Umum"/>
    <m/>
    <s v="C.13147"/>
    <m/>
    <s v="HABIBI"/>
    <m/>
    <s v="HANIF"/>
    <m/>
    <s v="SERVICE LAPTOP"/>
    <m/>
    <x v="0"/>
    <m/>
    <s v="ABDUL MUNAJAT"/>
    <m/>
    <x v="3"/>
    <m/>
    <s v="HANIF"/>
    <m/>
    <s v="KEYBOARD"/>
    <m/>
    <s v="LENOVO"/>
    <m/>
    <s v="Lenovo Ideapad 1 14IGL05"/>
    <m/>
    <s v="JASA71"/>
    <m/>
    <s v="JASA REPAIR"/>
    <m/>
    <n v="0"/>
    <m/>
    <n v="1"/>
    <m/>
    <n v="430000"/>
    <m/>
    <n v="430000"/>
    <m/>
    <m/>
    <m/>
    <s v="N/A"/>
  </r>
  <r>
    <m/>
    <x v="11"/>
    <m/>
    <s v="MF-FP.24943"/>
    <m/>
    <s v="MF-ST.22341"/>
    <m/>
    <d v="2026-05-01T00:00:00"/>
    <m/>
    <s v="Umum"/>
    <m/>
    <s v="C.13147"/>
    <m/>
    <s v="HABIBI"/>
    <m/>
    <s v="HANIF"/>
    <m/>
    <s v="SERVICE LAPTOP"/>
    <m/>
    <x v="1"/>
    <m/>
    <s v="ABDUL MUNAJAT"/>
    <m/>
    <x v="3"/>
    <m/>
    <s v="HANIF"/>
    <m/>
    <s v="KEYBOARD"/>
    <m/>
    <s v="LENOVO"/>
    <m/>
    <s v="Lenovo Ideapad 1 14IGL05"/>
    <m/>
    <s v="105161"/>
    <m/>
    <s v="KYBRD LNV IDEAPAD SLIM 1 / SLIM 3 14IGL05"/>
    <m/>
    <n v="132500"/>
    <m/>
    <n v="1"/>
    <m/>
    <n v="100000"/>
    <m/>
    <n v="100000"/>
    <m/>
    <m/>
    <m/>
    <s v="N/A"/>
  </r>
  <r>
    <m/>
    <x v="11"/>
    <m/>
    <s v="MF-FP.24943"/>
    <m/>
    <s v="MF-ST.22341"/>
    <m/>
    <d v="2026-05-01T00:00:00"/>
    <m/>
    <s v="Umum"/>
    <m/>
    <s v="C.13147"/>
    <m/>
    <s v="HABIBI"/>
    <m/>
    <s v="HANIF"/>
    <m/>
    <s v="SERVICE LAPTOP"/>
    <m/>
    <x v="2"/>
    <m/>
    <s v="ABDUL MUNAJAT"/>
    <m/>
    <x v="3"/>
    <m/>
    <s v="HANIF"/>
    <m/>
    <s v="KEYBOARD"/>
    <m/>
    <s v="LENOVO"/>
    <m/>
    <s v="Lenovo Ideapad 1 14IGL05"/>
    <m/>
    <s v="AKOR-014"/>
    <m/>
    <s v="ORAIMO CABLE TYPE-C 2A OCD-114C"/>
    <m/>
    <n v="15000"/>
    <m/>
    <n v="1"/>
    <m/>
    <n v="20000"/>
    <m/>
    <n v="20000"/>
    <m/>
    <m/>
    <m/>
    <s v="N/A"/>
  </r>
  <r>
    <m/>
    <x v="11"/>
    <m/>
    <s v="MF-FP.24950"/>
    <m/>
    <s v="MF-ST.22337"/>
    <m/>
    <d v="2026-05-01T00:00:00"/>
    <m/>
    <s v="Member Reguler"/>
    <m/>
    <s v="C.08276"/>
    <m/>
    <s v="GINA"/>
    <m/>
    <s v="HANIF"/>
    <m/>
    <s v="SERVICE HANDPHONE"/>
    <m/>
    <x v="0"/>
    <m/>
    <s v="MUSTOFA"/>
    <m/>
    <x v="1"/>
    <m/>
    <s v="HANIF"/>
    <m/>
    <s v="LCD"/>
    <m/>
    <s v="APPLE"/>
    <m/>
    <s v="8 plus"/>
    <m/>
    <s v="JASA71"/>
    <m/>
    <s v="JASA REPAIR"/>
    <m/>
    <n v="0"/>
    <m/>
    <n v="1"/>
    <m/>
    <n v="175000"/>
    <m/>
    <n v="175000"/>
    <m/>
    <s v="Achmad Indrawanto"/>
    <m/>
    <s v="N/A"/>
  </r>
  <r>
    <m/>
    <x v="11"/>
    <m/>
    <s v="MF-FP.24950"/>
    <m/>
    <s v="MF-ST.22337"/>
    <m/>
    <d v="2026-05-01T00:00:00"/>
    <m/>
    <s v="Member Reguler"/>
    <m/>
    <s v="C.08276"/>
    <m/>
    <s v="GINA"/>
    <m/>
    <s v="HANIF"/>
    <m/>
    <s v="SERVICE HANDPHONE"/>
    <m/>
    <x v="2"/>
    <m/>
    <s v="MUSTOFA"/>
    <m/>
    <x v="1"/>
    <m/>
    <s v="HANIF"/>
    <m/>
    <s v="LCD"/>
    <m/>
    <s v="APPLE"/>
    <m/>
    <s v="8 plus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1"/>
    <m/>
    <s v="MF-FP.24950"/>
    <m/>
    <s v="MF-ST.22337"/>
    <m/>
    <d v="2026-05-01T00:00:00"/>
    <m/>
    <s v="Member Reguler"/>
    <m/>
    <s v="C.08276"/>
    <m/>
    <s v="GINA"/>
    <m/>
    <s v="HANIF"/>
    <m/>
    <s v="SERVICE HANDPHONE"/>
    <m/>
    <x v="1"/>
    <m/>
    <s v="MUSTOFA"/>
    <m/>
    <x v="1"/>
    <m/>
    <s v="HANIF"/>
    <m/>
    <s v="LCD"/>
    <m/>
    <s v="APPLE"/>
    <m/>
    <s v="8 plus"/>
    <m/>
    <s v="100495"/>
    <m/>
    <s v="LCD.. IPH 8 PLUS W"/>
    <m/>
    <n v="121571.428571"/>
    <m/>
    <n v="1"/>
    <m/>
    <n v="200000"/>
    <m/>
    <n v="200000"/>
    <m/>
    <s v="Achmad Indrawanto"/>
    <m/>
    <s v="N/A"/>
  </r>
  <r>
    <m/>
    <x v="11"/>
    <m/>
    <s v="MF-FP.24958"/>
    <m/>
    <s v="MF-ST.22452"/>
    <m/>
    <d v="2026-05-05T00:00:00"/>
    <m/>
    <s v="Umum"/>
    <m/>
    <s v="C.13190"/>
    <m/>
    <s v="SERBATUA MANADO"/>
    <m/>
    <s v="HANIF"/>
    <m/>
    <s v="SERVICE HANDPHONE"/>
    <m/>
    <x v="0"/>
    <m/>
    <s v="EKO RISDIYANTORO JATIMULYA"/>
    <m/>
    <x v="2"/>
    <m/>
    <s v="Achmad Indrawanto"/>
    <m/>
    <s v="SOFTWARE"/>
    <m/>
    <s v="OPPO"/>
    <m/>
    <s v="oppo reno 5f"/>
    <m/>
    <s v="JASA71"/>
    <m/>
    <s v="JASA REPAIR"/>
    <m/>
    <n v="0"/>
    <m/>
    <n v="1"/>
    <m/>
    <n v="190000"/>
    <m/>
    <n v="190000"/>
    <m/>
    <s v="HANIF"/>
    <m/>
    <s v="N/A"/>
  </r>
  <r>
    <m/>
    <x v="11"/>
    <m/>
    <s v="MF-FP.24958"/>
    <m/>
    <s v="MF-ST.22452"/>
    <m/>
    <d v="2026-05-05T00:00:00"/>
    <m/>
    <s v="Umum"/>
    <m/>
    <s v="C.13190"/>
    <m/>
    <s v="SERBATUA MANADO"/>
    <m/>
    <s v="HANIF"/>
    <m/>
    <s v="SERVICE HANDPHONE"/>
    <m/>
    <x v="1"/>
    <m/>
    <s v="EKO RISDIYANTORO JATIMULYA"/>
    <m/>
    <x v="2"/>
    <m/>
    <s v="Achmad Indrawanto"/>
    <m/>
    <s v="SOFTWARE"/>
    <m/>
    <s v="OPPO"/>
    <m/>
    <s v="oppo reno 5f"/>
    <m/>
    <s v="102708"/>
    <m/>
    <s v="FLVLM OPP RENO 5F/RENO 4F/OPP A93 4G"/>
    <m/>
    <n v="3000"/>
    <m/>
    <n v="1"/>
    <m/>
    <n v="20000"/>
    <m/>
    <n v="20000"/>
    <m/>
    <s v="HANIF"/>
    <m/>
    <s v="N/A"/>
  </r>
  <r>
    <m/>
    <x v="11"/>
    <m/>
    <s v="MF-FP.24958"/>
    <m/>
    <s v="MF-ST.22452"/>
    <m/>
    <d v="2026-05-05T00:00:00"/>
    <m/>
    <s v="Umum"/>
    <m/>
    <s v="C.13190"/>
    <m/>
    <s v="SERBATUA MANADO"/>
    <m/>
    <s v="HANIF"/>
    <m/>
    <s v="SERVICE HANDPHONE"/>
    <m/>
    <x v="1"/>
    <m/>
    <s v="EKO RISDIYANTORO JATIMULYA"/>
    <m/>
    <x v="2"/>
    <m/>
    <s v="Achmad Indrawanto"/>
    <m/>
    <s v="SOFTWARE"/>
    <m/>
    <s v="OPPO"/>
    <m/>
    <s v="oppo reno 5f"/>
    <m/>
    <s v="102498"/>
    <m/>
    <s v="PERNIK TBL O/F + VLM OPP RENO 5 4G/5G RENO 5F RENO 6"/>
    <m/>
    <n v="5978.951634"/>
    <m/>
    <n v="1"/>
    <m/>
    <n v="15000"/>
    <m/>
    <n v="15000"/>
    <m/>
    <s v="HANIF"/>
    <m/>
    <s v="N/A"/>
  </r>
  <r>
    <m/>
    <x v="11"/>
    <m/>
    <s v="MF-FP.24958"/>
    <m/>
    <s v="MF-ST.22452"/>
    <m/>
    <d v="2026-05-05T00:00:00"/>
    <m/>
    <s v="Umum"/>
    <m/>
    <s v="C.13190"/>
    <m/>
    <s v="SERBATUA MANADO"/>
    <m/>
    <s v="HANIF"/>
    <m/>
    <s v="SERVICE HANDPHONE"/>
    <m/>
    <x v="2"/>
    <m/>
    <s v="EKO RISDIYANTORO JATIMULYA"/>
    <m/>
    <x v="2"/>
    <m/>
    <s v="Achmad Indrawanto"/>
    <m/>
    <s v="SOFTWARE"/>
    <m/>
    <s v="OPPO"/>
    <m/>
    <s v="oppo reno 5f"/>
    <m/>
    <s v="AKOR-014"/>
    <m/>
    <s v="ORAIMO CABLE TYPE-C 2A OCD-114C"/>
    <m/>
    <n v="15000"/>
    <m/>
    <n v="1"/>
    <m/>
    <n v="25000"/>
    <m/>
    <n v="25000"/>
    <m/>
    <s v="HANIF"/>
    <m/>
    <s v="N/A"/>
  </r>
  <r>
    <m/>
    <x v="11"/>
    <m/>
    <s v="MF-FP.24959"/>
    <m/>
    <s v="MF-ST.22461"/>
    <m/>
    <d v="2026-05-05T00:00:00"/>
    <m/>
    <s v="Member Reguler"/>
    <m/>
    <s v="C.13197"/>
    <m/>
    <s v="SARAS"/>
    <m/>
    <s v="Achmad Indrawanto"/>
    <m/>
    <s v="SERVICE HANDPHONE"/>
    <m/>
    <x v="0"/>
    <m/>
    <s v="MUSTOFA"/>
    <m/>
    <x v="1"/>
    <m/>
    <s v="Achmad Indrawanto"/>
    <m/>
    <s v="FLEXIBEL ON/OFF"/>
    <m/>
    <s v="REALME"/>
    <m/>
    <s v="Realme 8 5g"/>
    <m/>
    <s v="JASA71"/>
    <m/>
    <s v="JASA REPAIR"/>
    <m/>
    <n v="0"/>
    <m/>
    <n v="1"/>
    <m/>
    <n v="135000"/>
    <m/>
    <n v="135000"/>
    <m/>
    <s v="Achmad Indrawanto"/>
    <m/>
    <s v="N/A"/>
  </r>
  <r>
    <m/>
    <x v="11"/>
    <m/>
    <s v="MF-FP.24959"/>
    <m/>
    <s v="MF-ST.22461"/>
    <m/>
    <d v="2026-05-05T00:00:00"/>
    <m/>
    <s v="Member Reguler"/>
    <m/>
    <s v="C.13197"/>
    <m/>
    <s v="SARAS"/>
    <m/>
    <s v="Achmad Indrawanto"/>
    <m/>
    <s v="SERVICE HANDPHONE"/>
    <m/>
    <x v="1"/>
    <m/>
    <s v="MUSTOFA"/>
    <m/>
    <x v="1"/>
    <m/>
    <s v="Achmad Indrawanto"/>
    <m/>
    <s v="FLEXIBEL ON/OFF"/>
    <m/>
    <s v="REALME"/>
    <m/>
    <s v="Realme 8 5g"/>
    <m/>
    <s v="106498"/>
    <m/>
    <s v="FLONF OPP A55 5G/RLM 8 5G"/>
    <m/>
    <n v="4500"/>
    <m/>
    <n v="1"/>
    <m/>
    <n v="15000"/>
    <m/>
    <n v="15000"/>
    <m/>
    <s v="Achmad Indrawanto"/>
    <m/>
    <s v="N/A"/>
  </r>
  <r>
    <m/>
    <x v="11"/>
    <m/>
    <s v="MF-FP.24959"/>
    <m/>
    <s v="MF-ST.22461"/>
    <m/>
    <d v="2026-05-05T00:00:00"/>
    <m/>
    <s v="Member Reguler"/>
    <m/>
    <s v="C.13197"/>
    <m/>
    <s v="SARAS"/>
    <m/>
    <s v="Achmad Indrawanto"/>
    <m/>
    <s v="SERVICE HANDPHONE"/>
    <m/>
    <x v="2"/>
    <m/>
    <s v="MUSTOFA"/>
    <m/>
    <x v="1"/>
    <m/>
    <s v="Achmad Indrawanto"/>
    <m/>
    <s v="FLEXIBEL ON/OFF"/>
    <m/>
    <s v="REALME"/>
    <m/>
    <s v="Realme 8 5g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1"/>
    <m/>
    <s v="MF-FP.24962"/>
    <m/>
    <s v="MF-ST.22459"/>
    <m/>
    <d v="2026-05-05T00:00:00"/>
    <m/>
    <s v="Member Reguler"/>
    <m/>
    <s v="C.13196"/>
    <m/>
    <s v="RAMZI"/>
    <m/>
    <s v="Achmad Indrawanto"/>
    <m/>
    <s v="SERVICE HANDPHONE"/>
    <m/>
    <x v="2"/>
    <m/>
    <s v="ARI MARWAN"/>
    <m/>
    <x v="0"/>
    <m/>
    <s v="Achmad Indrawanto"/>
    <m/>
    <s v="LCD"/>
    <m/>
    <s v="INFINIX"/>
    <m/>
    <s v="Infinix hot 30i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1"/>
    <m/>
    <s v="MF-FP.24964"/>
    <m/>
    <s v="MF-ST.22465"/>
    <m/>
    <d v="2026-05-05T00:00:00"/>
    <m/>
    <s v="Member Reguler"/>
    <m/>
    <s v="C.08420"/>
    <m/>
    <s v="GALANG"/>
    <m/>
    <s v="Achmad Indrawanto"/>
    <m/>
    <s v="SERVICE HANDPHONE"/>
    <m/>
    <x v="0"/>
    <m/>
    <s v="ARI MARWAN"/>
    <m/>
    <x v="0"/>
    <m/>
    <s v="Achmad Indrawanto"/>
    <m/>
    <s v="FLEXIBEL FINGERPRINT"/>
    <m/>
    <s v="SAMSUNG"/>
    <m/>
    <s v="Samsung A13"/>
    <m/>
    <s v="JASA71"/>
    <m/>
    <s v="JASA REPAIR"/>
    <m/>
    <n v="0"/>
    <m/>
    <n v="1"/>
    <m/>
    <n v="150000"/>
    <m/>
    <n v="150000"/>
    <m/>
    <s v="Achmad Indrawanto"/>
    <m/>
    <s v="N/A"/>
  </r>
  <r>
    <m/>
    <x v="11"/>
    <m/>
    <s v="MF-FP.24963"/>
    <m/>
    <s v="MF-ST.22456"/>
    <m/>
    <d v="2026-05-05T00:00:00"/>
    <m/>
    <s v="Umum"/>
    <m/>
    <s v="C.13193"/>
    <m/>
    <s v="FERDY"/>
    <m/>
    <s v="Achmad Indrawanto"/>
    <m/>
    <s v="SERVICE HANDPHONE"/>
    <m/>
    <x v="0"/>
    <m/>
    <s v="ARI MARWAN"/>
    <m/>
    <x v="0"/>
    <m/>
    <s v="Achmad Indrawanto"/>
    <m/>
    <s v="SOFTWARE"/>
    <m/>
    <s v="ADVAN"/>
    <m/>
    <s v="Advan VX Neo"/>
    <m/>
    <s v="JASA71"/>
    <m/>
    <s v="JASA REPAIR"/>
    <m/>
    <n v="0"/>
    <m/>
    <n v="1"/>
    <m/>
    <n v="225000"/>
    <m/>
    <n v="225000"/>
    <m/>
    <s v="Achmad Indrawanto"/>
    <m/>
    <s v="N/A"/>
  </r>
  <r>
    <m/>
    <x v="11"/>
    <m/>
    <s v="MF-FP.24964"/>
    <m/>
    <s v="MF-ST.22465"/>
    <m/>
    <d v="2026-05-05T00:00:00"/>
    <m/>
    <s v="Member Reguler"/>
    <m/>
    <s v="C.08420"/>
    <m/>
    <s v="GALANG"/>
    <m/>
    <s v="Achmad Indrawanto"/>
    <m/>
    <s v="SERVICE HANDPHONE"/>
    <m/>
    <x v="2"/>
    <m/>
    <s v="ARI MARWAN"/>
    <m/>
    <x v="0"/>
    <m/>
    <s v="Achmad Indrawanto"/>
    <m/>
    <s v="FLEXIBEL FINGERPRINT"/>
    <m/>
    <s v="SAMSUNG"/>
    <m/>
    <s v="Samsung A13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1"/>
    <m/>
    <s v="MF-FP.24964"/>
    <m/>
    <s v="MF-ST.22465"/>
    <m/>
    <d v="2026-05-05T00:00:00"/>
    <m/>
    <s v="Member Reguler"/>
    <m/>
    <s v="C.08420"/>
    <m/>
    <s v="GALANG"/>
    <m/>
    <s v="Achmad Indrawanto"/>
    <m/>
    <s v="SERVICE HANDPHONE"/>
    <m/>
    <x v="1"/>
    <m/>
    <s v="ARI MARWAN"/>
    <m/>
    <x v="0"/>
    <m/>
    <s v="Achmad Indrawanto"/>
    <m/>
    <s v="FLEXIBEL FINGERPRINT"/>
    <m/>
    <s v="SAMSUNG"/>
    <m/>
    <s v="Samsung A13"/>
    <m/>
    <s v="105587"/>
    <m/>
    <s v="FLEX. FINGERPRINT SAM A12"/>
    <m/>
    <n v="12875"/>
    <m/>
    <n v="1"/>
    <m/>
    <n v="25000"/>
    <m/>
    <n v="25000"/>
    <m/>
    <s v="Achmad Indrawanto"/>
    <m/>
    <s v="N/A"/>
  </r>
  <r>
    <m/>
    <x v="11"/>
    <m/>
    <s v="MF-FP.24963"/>
    <m/>
    <s v="MF-ST.22456"/>
    <m/>
    <d v="2026-05-05T00:00:00"/>
    <m/>
    <s v="Umum"/>
    <m/>
    <s v="C.13193"/>
    <m/>
    <s v="FERDY"/>
    <m/>
    <s v="Achmad Indrawanto"/>
    <m/>
    <s v="SERVICE HANDPHONE"/>
    <m/>
    <x v="2"/>
    <m/>
    <s v="ARI MARWAN"/>
    <m/>
    <x v="0"/>
    <m/>
    <s v="Achmad Indrawanto"/>
    <m/>
    <s v="SOFTWARE"/>
    <m/>
    <s v="ADVAN"/>
    <m/>
    <s v="Advan VX Neo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1"/>
    <m/>
    <s v="MF-FP.24966"/>
    <m/>
    <s v="MF-ST.22466"/>
    <m/>
    <d v="2026-05-05T00:00:00"/>
    <m/>
    <s v="Member Reguler"/>
    <m/>
    <s v="C.13201"/>
    <m/>
    <s v="ENO"/>
    <m/>
    <s v="Achmad Indrawanto"/>
    <m/>
    <s v="SERVICE HANDPHONE"/>
    <m/>
    <x v="0"/>
    <m/>
    <s v="MUSTOFA"/>
    <m/>
    <x v="1"/>
    <m/>
    <s v="Achmad Indrawanto"/>
    <m/>
    <s v="LCD"/>
    <m/>
    <s v="SAMSUNG"/>
    <m/>
    <s v="Samsung a50s"/>
    <m/>
    <s v="JASA71"/>
    <m/>
    <s v="JASA REPAIR"/>
    <m/>
    <n v="0"/>
    <m/>
    <n v="1"/>
    <m/>
    <n v="180000"/>
    <m/>
    <n v="180000"/>
    <m/>
    <s v="Achmad Indrawanto"/>
    <m/>
    <s v="N/A"/>
  </r>
  <r>
    <m/>
    <x v="11"/>
    <m/>
    <s v="MF-FP.24966"/>
    <m/>
    <s v="MF-ST.22466"/>
    <m/>
    <d v="2026-05-05T00:00:00"/>
    <m/>
    <s v="Member Reguler"/>
    <m/>
    <s v="C.13201"/>
    <m/>
    <s v="ENO"/>
    <m/>
    <s v="Achmad Indrawanto"/>
    <m/>
    <s v="SERVICE HANDPHONE"/>
    <m/>
    <x v="1"/>
    <m/>
    <s v="MUSTOFA"/>
    <m/>
    <x v="1"/>
    <m/>
    <s v="Achmad Indrawanto"/>
    <m/>
    <s v="LCD"/>
    <m/>
    <s v="SAMSUNG"/>
    <m/>
    <s v="Samsung a50s"/>
    <m/>
    <s v="100141"/>
    <m/>
    <s v="LCD.. SAM A30/A50/A50s B FST"/>
    <m/>
    <n v="158053.14309299999"/>
    <m/>
    <n v="1"/>
    <m/>
    <n v="220000"/>
    <m/>
    <n v="220000"/>
    <m/>
    <s v="Achmad Indrawanto"/>
    <m/>
    <s v="N/A"/>
  </r>
  <r>
    <m/>
    <x v="11"/>
    <m/>
    <s v="MF-FP.24966"/>
    <m/>
    <s v="MF-ST.22466"/>
    <m/>
    <d v="2026-05-05T00:00:00"/>
    <m/>
    <s v="Member Reguler"/>
    <m/>
    <s v="C.13201"/>
    <m/>
    <s v="ENO"/>
    <m/>
    <s v="Achmad Indrawanto"/>
    <m/>
    <s v="SERVICE HANDPHONE"/>
    <m/>
    <x v="2"/>
    <m/>
    <s v="MUSTOFA"/>
    <m/>
    <x v="1"/>
    <m/>
    <s v="Achmad Indrawanto"/>
    <m/>
    <s v="LCD"/>
    <m/>
    <s v="SAMSUNG"/>
    <m/>
    <s v="Samsung a50s"/>
    <m/>
    <s v="100025"/>
    <m/>
    <s v="VIVAN HYDROGEL BASIC CRYSTAL CLEAR VSP01T"/>
    <m/>
    <n v="11151.582562"/>
    <m/>
    <n v="1"/>
    <m/>
    <n v="75000"/>
    <m/>
    <n v="75000"/>
    <m/>
    <s v="Achmad Indrawanto"/>
    <m/>
    <s v="N/A"/>
  </r>
  <r>
    <m/>
    <x v="11"/>
    <m/>
    <s v="MF-FP.24967"/>
    <m/>
    <s v="MF-ST.22442"/>
    <m/>
    <d v="2026-05-05T00:00:00"/>
    <m/>
    <s v="Member Reguler"/>
    <m/>
    <s v="MJ1318"/>
    <m/>
    <s v="PAK DIAN NURDIANTO"/>
    <m/>
    <s v="HANIF"/>
    <m/>
    <s v="SERVICE HANDPHONE"/>
    <m/>
    <x v="0"/>
    <m/>
    <s v="EKO RISDIYANTORO JATIMULYA"/>
    <m/>
    <x v="2"/>
    <m/>
    <s v="Achmad Indrawanto"/>
    <m/>
    <s v="SOFTWARE"/>
    <m/>
    <s v="OPPO"/>
    <m/>
    <s v="oppo a5s"/>
    <m/>
    <s v="JASA71"/>
    <m/>
    <s v="JASA REPAIR"/>
    <m/>
    <n v="0"/>
    <m/>
    <n v="1"/>
    <m/>
    <n v="50000"/>
    <m/>
    <n v="50000"/>
    <m/>
    <s v="CHANDRA PRADITYA GUNAWAN"/>
    <m/>
    <s v="N/A"/>
  </r>
  <r>
    <m/>
    <x v="11"/>
    <m/>
    <s v="MF-FP.24967"/>
    <m/>
    <s v="MF-ST.22442"/>
    <m/>
    <d v="2026-05-05T00:00:00"/>
    <m/>
    <s v="Member Reguler"/>
    <m/>
    <s v="MJ1318"/>
    <m/>
    <s v="PAK DIAN NURDIANTO"/>
    <m/>
    <s v="HANIF"/>
    <m/>
    <s v="SERVICE HANDPHONE"/>
    <m/>
    <x v="2"/>
    <m/>
    <s v="EKO RISDIYANTORO JATIMULYA"/>
    <m/>
    <x v="2"/>
    <m/>
    <s v="Achmad Indrawanto"/>
    <m/>
    <s v="SOFTWARE"/>
    <m/>
    <s v="OPPO"/>
    <m/>
    <s v="oppo a5s"/>
    <m/>
    <s v="AKOR-014"/>
    <m/>
    <s v="ORAIMO CABLE TYPE-C 2A OCD-114C"/>
    <m/>
    <n v="15000"/>
    <m/>
    <n v="1"/>
    <m/>
    <n v="25000"/>
    <m/>
    <n v="25000"/>
    <m/>
    <s v="CHANDRA PRADITYA GUNAWAN"/>
    <m/>
    <s v="N/A"/>
  </r>
  <r>
    <m/>
    <x v="11"/>
    <m/>
    <s v="MF-FP.24968"/>
    <m/>
    <s v="MF-ST.22467"/>
    <m/>
    <d v="2026-05-05T00:00:00"/>
    <m/>
    <s v="Member Reguler"/>
    <m/>
    <s v="C.08276"/>
    <m/>
    <s v="GINA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0025"/>
    <m/>
    <s v="VIVAN HYDROGEL BASIC CRYSTAL CLEAR VSP01T"/>
    <m/>
    <n v="11151.582562"/>
    <m/>
    <n v="1"/>
    <m/>
    <n v="75000"/>
    <m/>
    <n v="75000"/>
    <m/>
    <s v="Achmad Indrawanto"/>
    <m/>
    <s v="N/A"/>
  </r>
  <r>
    <m/>
    <x v="11"/>
    <m/>
    <s v="MF-FP.24961"/>
    <m/>
    <s v="MF-ST.22460"/>
    <m/>
    <d v="2026-05-05T00:00:00"/>
    <m/>
    <s v="Umum"/>
    <m/>
    <s v="C.13115"/>
    <m/>
    <s v="FAHMI"/>
    <m/>
    <s v="Achmad Indrawanto"/>
    <m/>
    <s v="SERVICE HANDPHONE"/>
    <m/>
    <x v="0"/>
    <m/>
    <s v="ARI MARWAN"/>
    <m/>
    <x v="0"/>
    <m/>
    <s v="Achmad Indrawanto"/>
    <m/>
    <s v="SOFTWARE"/>
    <m/>
    <s v="OPPO"/>
    <m/>
    <s v="Oppo A5 pro"/>
    <m/>
    <s v="JASA71"/>
    <m/>
    <s v="JASA REPAIR"/>
    <m/>
    <n v="0"/>
    <m/>
    <n v="1"/>
    <m/>
    <n v="195000"/>
    <m/>
    <n v="195000"/>
    <m/>
    <s v="Achmad Indrawanto"/>
    <m/>
    <s v="N/A"/>
  </r>
  <r>
    <m/>
    <x v="11"/>
    <m/>
    <s v="MF-FP.24960"/>
    <m/>
    <s v="MF-ST.22450"/>
    <m/>
    <d v="2026-05-05T00:00:00"/>
    <m/>
    <s v="Umum"/>
    <m/>
    <s v="C.11204"/>
    <m/>
    <s v="RIDWAN"/>
    <m/>
    <s v="HANIF"/>
    <m/>
    <s v="SERVICE HANDPHONE"/>
    <m/>
    <x v="0"/>
    <m/>
    <s v="EKO RISDIYANTORO JATIMULYA"/>
    <m/>
    <x v="2"/>
    <m/>
    <s v="Achmad Indrawanto"/>
    <m/>
    <s v="LCD"/>
    <m/>
    <s v="XIAOMI"/>
    <m/>
    <s v="redmi note 11 pro 5g"/>
    <m/>
    <s v="JASA71"/>
    <m/>
    <s v="JASA REPAIR"/>
    <m/>
    <n v="0"/>
    <m/>
    <n v="1"/>
    <m/>
    <n v="180000"/>
    <m/>
    <n v="180000"/>
    <m/>
    <s v="Achmad Indrawanto"/>
    <m/>
    <s v="N/A"/>
  </r>
  <r>
    <m/>
    <x v="11"/>
    <m/>
    <s v="MF-FP.24960"/>
    <m/>
    <s v="MF-ST.22450"/>
    <m/>
    <d v="2026-05-05T00:00:00"/>
    <m/>
    <s v="Umum"/>
    <m/>
    <s v="C.11204"/>
    <m/>
    <s v="RIDWAN"/>
    <m/>
    <s v="HANIF"/>
    <m/>
    <s v="SERVICE HANDPHONE"/>
    <m/>
    <x v="1"/>
    <m/>
    <s v="EKO RISDIYANTORO JATIMULYA"/>
    <m/>
    <x v="2"/>
    <m/>
    <s v="Achmad Indrawanto"/>
    <m/>
    <s v="LCD"/>
    <m/>
    <s v="XIAOMI"/>
    <m/>
    <s v="redmi note 11 pro 5g"/>
    <m/>
    <s v="100190"/>
    <m/>
    <s v="LCD.. XIO REDMI NOTE 10 PRO 4G/NOTE 11 PRO 4G/5G/POCO X4 PRO 5G/NOTE 12 PRO 4G B"/>
    <m/>
    <n v="171041.77777700001"/>
    <m/>
    <n v="1"/>
    <m/>
    <n v="245000"/>
    <m/>
    <n v="245000"/>
    <m/>
    <s v="Achmad Indrawanto"/>
    <m/>
    <s v="N/A"/>
  </r>
  <r>
    <m/>
    <x v="11"/>
    <m/>
    <s v="MF-FP.24960"/>
    <m/>
    <s v="MF-ST.22450"/>
    <m/>
    <d v="2026-05-05T00:00:00"/>
    <m/>
    <s v="Umum"/>
    <m/>
    <s v="C.11204"/>
    <m/>
    <s v="RIDWAN"/>
    <m/>
    <s v="HANIF"/>
    <m/>
    <s v="SERVICE HANDPHONE"/>
    <m/>
    <x v="2"/>
    <m/>
    <s v="EKO RISDIYANTORO JATIMULYA"/>
    <m/>
    <x v="2"/>
    <m/>
    <s v="Achmad Indrawanto"/>
    <m/>
    <s v="LCD"/>
    <m/>
    <s v="XIAOMI"/>
    <m/>
    <s v="redmi note 11 pro 5g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1"/>
    <m/>
    <s v="MF-FP.24961"/>
    <m/>
    <s v="MF-ST.22460"/>
    <m/>
    <d v="2026-05-05T00:00:00"/>
    <m/>
    <s v="Umum"/>
    <m/>
    <s v="C.13115"/>
    <m/>
    <s v="FAHMI"/>
    <m/>
    <s v="Achmad Indrawanto"/>
    <m/>
    <s v="SERVICE HANDPHONE"/>
    <m/>
    <x v="2"/>
    <m/>
    <s v="ARI MARWAN"/>
    <m/>
    <x v="0"/>
    <m/>
    <s v="Achmad Indrawanto"/>
    <m/>
    <s v="SOFTWARE"/>
    <m/>
    <s v="OPPO"/>
    <m/>
    <s v="Oppo A5 pro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1"/>
    <m/>
    <s v="MF-FP.24961"/>
    <m/>
    <s v="MF-ST.22460"/>
    <m/>
    <d v="2026-05-05T00:00:00"/>
    <m/>
    <s v="Umum"/>
    <m/>
    <s v="C.13115"/>
    <m/>
    <s v="FAHMI"/>
    <m/>
    <s v="Achmad Indrawanto"/>
    <m/>
    <s v="SERVICE HANDPHONE"/>
    <m/>
    <x v="1"/>
    <m/>
    <s v="ARI MARWAN"/>
    <m/>
    <x v="0"/>
    <m/>
    <s v="Achmad Indrawanto"/>
    <m/>
    <s v="SOFTWARE"/>
    <m/>
    <s v="OPPO"/>
    <m/>
    <s v="Oppo A5 pro"/>
    <m/>
    <s v="102711"/>
    <m/>
    <s v="FLCRG INF HOT 20i"/>
    <m/>
    <n v="21333.333332999999"/>
    <m/>
    <n v="1"/>
    <m/>
    <n v="80000"/>
    <m/>
    <n v="80000"/>
    <m/>
    <s v="Achmad Indrawanto"/>
    <m/>
    <s v="N/A"/>
  </r>
  <r>
    <m/>
    <x v="11"/>
    <m/>
    <s v="MF-FP.24953"/>
    <m/>
    <s v="MF-ST.22120"/>
    <m/>
    <d v="2026-04-22T00:00:00"/>
    <m/>
    <s v="Member Reguler"/>
    <m/>
    <s v="C.03126"/>
    <m/>
    <s v="ANA"/>
    <m/>
    <s v="Achmad Indrawanto"/>
    <m/>
    <s v="SERVICE HANDPHONE"/>
    <m/>
    <x v="0"/>
    <m/>
    <s v="YUVI NOFERIANTO"/>
    <m/>
    <x v="4"/>
    <m/>
    <s v="Achmad Indrawanto"/>
    <m/>
    <s v="LCD"/>
    <m/>
    <s v="SAMSUNG"/>
    <m/>
    <s v="Samsung s21"/>
    <m/>
    <s v="JASA71"/>
    <m/>
    <s v="JASA REPAIR"/>
    <m/>
    <n v="0"/>
    <m/>
    <n v="1"/>
    <m/>
    <n v="354070"/>
    <m/>
    <n v="354070"/>
    <m/>
    <s v="BAGUS SOLIHIN SALES RETAIL"/>
    <m/>
    <s v="N/A"/>
  </r>
  <r>
    <m/>
    <x v="11"/>
    <m/>
    <s v="MF-FP.24953"/>
    <m/>
    <s v="MF-ST.22120"/>
    <m/>
    <d v="2026-04-22T00:00:00"/>
    <m/>
    <s v="Member Reguler"/>
    <m/>
    <s v="C.03126"/>
    <m/>
    <s v="ANA"/>
    <m/>
    <s v="Achmad Indrawanto"/>
    <m/>
    <s v="SERVICE HANDPHONE"/>
    <m/>
    <x v="1"/>
    <m/>
    <s v="YUVI NOFERIANTO"/>
    <m/>
    <x v="4"/>
    <m/>
    <s v="Achmad Indrawanto"/>
    <m/>
    <s v="LCD"/>
    <m/>
    <s v="SAMSUNG"/>
    <m/>
    <s v="Samsung s21"/>
    <m/>
    <s v="107223"/>
    <m/>
    <s v="LCD.. SAM S21 ULTRA OLED + FRAME B"/>
    <m/>
    <n v="1270000"/>
    <m/>
    <n v="1"/>
    <m/>
    <n v="1625000"/>
    <m/>
    <n v="1625000"/>
    <m/>
    <s v="BAGUS SOLIHIN SALES RETAIL"/>
    <m/>
    <s v="N/A"/>
  </r>
  <r>
    <m/>
    <x v="11"/>
    <m/>
    <s v="MF-FP.24953"/>
    <m/>
    <s v="MF-ST.22120"/>
    <m/>
    <d v="2026-04-22T00:00:00"/>
    <m/>
    <s v="Member Reguler"/>
    <m/>
    <s v="C.03126"/>
    <m/>
    <s v="ANA"/>
    <m/>
    <s v="Achmad Indrawanto"/>
    <m/>
    <s v="SERVICE HANDPHONE"/>
    <m/>
    <x v="2"/>
    <m/>
    <s v="YUVI NOFERIANTO"/>
    <m/>
    <x v="4"/>
    <m/>
    <s v="Achmad Indrawanto"/>
    <m/>
    <s v="LCD"/>
    <m/>
    <s v="SAMSUNG"/>
    <m/>
    <s v="Samsung s21"/>
    <m/>
    <s v="100025"/>
    <m/>
    <s v="VIVAN HYDROGEL BASIC CRYSTAL CLEAR VSP01T"/>
    <m/>
    <n v="11151.582562"/>
    <m/>
    <n v="1"/>
    <m/>
    <n v="75000"/>
    <m/>
    <n v="75000"/>
    <m/>
    <s v="BAGUS SOLIHIN SALES RETAIL"/>
    <m/>
    <s v="N/A"/>
  </r>
  <r>
    <m/>
    <x v="11"/>
    <m/>
    <s v="MF-FP.24953"/>
    <m/>
    <s v="MF-ST.22120"/>
    <m/>
    <d v="2026-04-22T00:00:00"/>
    <m/>
    <s v="Member Reguler"/>
    <m/>
    <s v="C.03126"/>
    <m/>
    <s v="ANA"/>
    <m/>
    <s v="Achmad Indrawanto"/>
    <m/>
    <s v="SERVICE HANDPHONE"/>
    <m/>
    <x v="2"/>
    <m/>
    <s v="YUVI NOFERIANTO"/>
    <m/>
    <x v="4"/>
    <m/>
    <s v="Achmad Indrawanto"/>
    <m/>
    <s v="LCD"/>
    <m/>
    <s v="SAMSUNG"/>
    <m/>
    <s v="Samsung s21"/>
    <m/>
    <s v="100025"/>
    <m/>
    <s v="VIVAN HYDROGEL BASIC CRYSTAL CLEAR VSP01T"/>
    <m/>
    <n v="11151.582562"/>
    <m/>
    <n v="1"/>
    <m/>
    <n v="20000"/>
    <m/>
    <n v="20000"/>
    <m/>
    <s v="BAGUS SOLIHIN SALES RETAIL"/>
    <m/>
    <s v="N/A"/>
  </r>
  <r>
    <m/>
    <x v="11"/>
    <m/>
    <s v="MF-FP.24953"/>
    <m/>
    <m/>
    <m/>
    <m/>
    <m/>
    <m/>
    <m/>
    <s v="C.03126"/>
    <m/>
    <s v="ANA"/>
    <m/>
    <m/>
    <m/>
    <s v="SERVICE HANDPHONE"/>
    <m/>
    <x v="1"/>
    <m/>
    <m/>
    <m/>
    <x v="4"/>
    <m/>
    <s v="Achmad Indrawanto"/>
    <m/>
    <m/>
    <m/>
    <m/>
    <m/>
    <m/>
    <m/>
    <s v="106799"/>
    <m/>
    <s v="TCS.. TAB HANZONG H13 / H13 PRO"/>
    <m/>
    <n v="131800"/>
    <m/>
    <n v="1"/>
    <m/>
    <n v="177930"/>
    <m/>
    <n v="177930"/>
    <m/>
    <s v="BAGUS SOLIHIN SALES RETAIL"/>
    <m/>
    <s v="N/A"/>
  </r>
  <r>
    <m/>
    <x v="11"/>
    <m/>
    <s v="MF-FP.24953"/>
    <m/>
    <m/>
    <m/>
    <m/>
    <m/>
    <m/>
    <m/>
    <s v="C.03126"/>
    <m/>
    <s v="ANA"/>
    <m/>
    <m/>
    <m/>
    <s v="SERVICE HANDPHONE"/>
    <m/>
    <x v="1"/>
    <m/>
    <m/>
    <m/>
    <x v="4"/>
    <m/>
    <s v="Achmad Indrawanto"/>
    <m/>
    <m/>
    <m/>
    <m/>
    <m/>
    <m/>
    <m/>
    <s v="105588"/>
    <m/>
    <s v="FLCRG INF NOTE 30 PRO X6788"/>
    <m/>
    <n v="18973.703170000001"/>
    <m/>
    <n v="1"/>
    <m/>
    <n v="48000"/>
    <m/>
    <n v="48000"/>
    <m/>
    <s v="BAGUS SOLIHIN SALES RETAIL"/>
    <m/>
    <s v="N/A"/>
  </r>
  <r>
    <m/>
    <x v="11"/>
    <m/>
    <s v="MF-FP.24965"/>
    <m/>
    <s v="MF-ST.22289"/>
    <m/>
    <d v="2026-04-29T00:00:00"/>
    <m/>
    <s v="Member Reguler"/>
    <m/>
    <s v="C.04082"/>
    <m/>
    <s v="Beny"/>
    <m/>
    <s v="Achmad Indrawanto"/>
    <m/>
    <s v="SERVICE LAPTOP"/>
    <m/>
    <x v="0"/>
    <m/>
    <s v="ARIFIN SANTOSO JATIMULYA"/>
    <m/>
    <x v="6"/>
    <m/>
    <s v="Achmad Indrawanto"/>
    <m/>
    <s v="REPAIR"/>
    <m/>
    <s v="TOSHIBA"/>
    <m/>
    <s v="Toshiba L645"/>
    <m/>
    <s v="JASA71"/>
    <m/>
    <s v="JASA REPAIR"/>
    <m/>
    <n v="0"/>
    <m/>
    <n v="1"/>
    <m/>
    <n v="460000"/>
    <m/>
    <n v="460000"/>
    <m/>
    <s v="TEGAR PUTRA YANSA SALES"/>
    <m/>
    <s v="N/A"/>
  </r>
  <r>
    <m/>
    <x v="11"/>
    <m/>
    <s v="MF-FP.24965"/>
    <m/>
    <s v="MF-ST.22289"/>
    <m/>
    <d v="2026-04-29T00:00:00"/>
    <m/>
    <s v="Member Reguler"/>
    <m/>
    <s v="C.04082"/>
    <m/>
    <s v="Beny"/>
    <m/>
    <s v="Achmad Indrawanto"/>
    <m/>
    <s v="SERVICE LAPTOP"/>
    <m/>
    <x v="1"/>
    <m/>
    <s v="ARIFIN SANTOSO JATIMULYA"/>
    <m/>
    <x v="6"/>
    <m/>
    <s v="Achmad Indrawanto"/>
    <m/>
    <s v="REPAIR"/>
    <m/>
    <s v="TOSHIBA"/>
    <m/>
    <s v="Toshiba L645"/>
    <m/>
    <s v="102179"/>
    <m/>
    <s v="BATER CMOS LPT CR2032 3V"/>
    <m/>
    <n v="5339.6739129999996"/>
    <m/>
    <n v="1"/>
    <m/>
    <n v="15000"/>
    <m/>
    <n v="15000"/>
    <m/>
    <s v="TEGAR PUTRA YANSA SALES"/>
    <m/>
    <s v="N/A"/>
  </r>
  <r>
    <m/>
    <x v="11"/>
    <m/>
    <s v="MF-FP.24965"/>
    <m/>
    <s v="MF-ST.22289"/>
    <m/>
    <d v="2026-04-29T00:00:00"/>
    <m/>
    <s v="Member Reguler"/>
    <m/>
    <s v="C.04082"/>
    <m/>
    <s v="Beny"/>
    <m/>
    <s v="Achmad Indrawanto"/>
    <m/>
    <s v="SERVICE LAPTOP"/>
    <m/>
    <x v="2"/>
    <m/>
    <s v="ARIFIN SANTOSO JATIMULYA"/>
    <m/>
    <x v="6"/>
    <m/>
    <s v="Achmad Indrawanto"/>
    <m/>
    <s v="REPAIR"/>
    <m/>
    <s v="TOSHIBA"/>
    <m/>
    <s v="Toshiba L645"/>
    <m/>
    <s v="AKOR-014"/>
    <m/>
    <s v="ORAIMO CABLE TYPE-C 2A OCD-114C"/>
    <m/>
    <n v="15000"/>
    <m/>
    <n v="1"/>
    <m/>
    <n v="25000"/>
    <m/>
    <n v="25000"/>
    <m/>
    <s v="TEGAR PUTRA YANSA SALES"/>
    <m/>
    <s v="N/A"/>
  </r>
  <r>
    <m/>
    <x v="12"/>
    <m/>
    <s v="MF-FP.24969"/>
    <m/>
    <s v="MF-ST.22470"/>
    <m/>
    <d v="2026-05-06T00:00:00"/>
    <m/>
    <s v="Member Reguler"/>
    <m/>
    <s v="C.13202"/>
    <m/>
    <s v="ANDI"/>
    <m/>
    <s v="HANIF"/>
    <m/>
    <s v="SERVICE HANDPHONE"/>
    <m/>
    <x v="0"/>
    <m/>
    <s v="ARI MARWAN"/>
    <m/>
    <x v="0"/>
    <m/>
    <s v="HANIF"/>
    <m/>
    <s v="LCD"/>
    <m/>
    <s v="INFINIX"/>
    <m/>
    <s v="Infinix Note 7"/>
    <m/>
    <s v="JASA71"/>
    <m/>
    <s v="JASA REPAIR"/>
    <m/>
    <n v="0"/>
    <m/>
    <n v="1"/>
    <m/>
    <n v="215000"/>
    <m/>
    <n v="215000"/>
    <m/>
    <s v="HANIF"/>
    <m/>
    <s v="N/A"/>
  </r>
  <r>
    <m/>
    <x v="12"/>
    <m/>
    <s v="MF-FP.24969"/>
    <m/>
    <s v="MF-ST.22470"/>
    <m/>
    <d v="2026-05-06T00:00:00"/>
    <m/>
    <s v="Member Reguler"/>
    <m/>
    <s v="C.13202"/>
    <m/>
    <s v="ANDI"/>
    <m/>
    <s v="HANIF"/>
    <m/>
    <s v="SERVICE HANDPHONE"/>
    <m/>
    <x v="2"/>
    <m/>
    <s v="ARI MARWAN"/>
    <m/>
    <x v="0"/>
    <m/>
    <s v="HANIF"/>
    <m/>
    <s v="LCD"/>
    <m/>
    <s v="INFINIX"/>
    <m/>
    <s v="Infinix Note 7"/>
    <m/>
    <s v="AKOR-014"/>
    <m/>
    <s v="ORAIMO CABLE TYPE-C 2A OCD-114C"/>
    <m/>
    <n v="15000"/>
    <m/>
    <n v="1"/>
    <m/>
    <n v="25000"/>
    <m/>
    <n v="25000"/>
    <m/>
    <s v="HANIF"/>
    <m/>
    <s v="N/A"/>
  </r>
  <r>
    <m/>
    <x v="12"/>
    <m/>
    <s v="MF-FP.24969"/>
    <m/>
    <s v="MF-ST.22470"/>
    <m/>
    <d v="2026-05-06T00:00:00"/>
    <m/>
    <s v="Member Reguler"/>
    <m/>
    <s v="C.13202"/>
    <m/>
    <s v="ANDI"/>
    <m/>
    <s v="HANIF"/>
    <m/>
    <s v="SERVICE HANDPHONE"/>
    <m/>
    <x v="1"/>
    <m/>
    <s v="ARI MARWAN"/>
    <m/>
    <x v="0"/>
    <m/>
    <s v="HANIF"/>
    <m/>
    <s v="LCD"/>
    <m/>
    <s v="INFINIX"/>
    <m/>
    <s v="Infinix Note 7"/>
    <m/>
    <s v="101420"/>
    <m/>
    <s v="LCD.. INF NOTE 7 X690 B"/>
    <m/>
    <n v="150591.105779"/>
    <m/>
    <n v="1"/>
    <m/>
    <n v="300000"/>
    <m/>
    <n v="300000"/>
    <m/>
    <s v="HANIF"/>
    <m/>
    <s v="N/A"/>
  </r>
  <r>
    <m/>
    <x v="12"/>
    <m/>
    <s v="MF-FP.24969"/>
    <m/>
    <s v="MF-ST.22470"/>
    <m/>
    <d v="2026-05-06T00:00:00"/>
    <m/>
    <s v="Member Reguler"/>
    <m/>
    <s v="C.13202"/>
    <m/>
    <s v="ANDI"/>
    <m/>
    <s v="HANIF"/>
    <m/>
    <s v="SERVICE HANDPHONE"/>
    <m/>
    <x v="1"/>
    <m/>
    <s v="ARI MARWAN"/>
    <m/>
    <x v="0"/>
    <m/>
    <s v="HANIF"/>
    <m/>
    <s v="LCD"/>
    <m/>
    <s v="INFINIX"/>
    <m/>
    <s v="Infinix Note 7"/>
    <m/>
    <s v="100105"/>
    <m/>
    <s v="KNCRG INF UNIVERSAL"/>
    <m/>
    <n v="4000"/>
    <m/>
    <n v="2"/>
    <m/>
    <n v="5000"/>
    <m/>
    <n v="10000"/>
    <m/>
    <s v="HANIF"/>
    <m/>
    <s v="N/A"/>
  </r>
  <r>
    <m/>
    <x v="12"/>
    <m/>
    <s v="MF-FP.24970"/>
    <m/>
    <s v="MF-ST.22471"/>
    <m/>
    <d v="2026-05-06T00:00:00"/>
    <m/>
    <s v="Umum"/>
    <m/>
    <s v="C.13203"/>
    <m/>
    <s v="IQBAL"/>
    <m/>
    <s v="HANIF"/>
    <m/>
    <s v="SERVICE HANDPHONE"/>
    <m/>
    <x v="0"/>
    <m/>
    <s v="EKO RISDIYANTORO JATIMULYA"/>
    <m/>
    <x v="2"/>
    <m/>
    <s v="HANIF"/>
    <m/>
    <s v="LCD"/>
    <m/>
    <s v="APPLE"/>
    <m/>
    <s v="iphone xr"/>
    <m/>
    <s v="JASA71"/>
    <m/>
    <s v="JASA REPAIR"/>
    <m/>
    <n v="0"/>
    <m/>
    <n v="1"/>
    <m/>
    <n v="235000"/>
    <m/>
    <n v="235000"/>
    <m/>
    <m/>
    <m/>
    <s v="N/A"/>
  </r>
  <r>
    <m/>
    <x v="12"/>
    <m/>
    <s v="MF-FP.24970"/>
    <m/>
    <s v="MF-ST.22471"/>
    <m/>
    <d v="2026-05-06T00:00:00"/>
    <m/>
    <s v="Umum"/>
    <m/>
    <s v="C.13203"/>
    <m/>
    <s v="IQBAL"/>
    <m/>
    <s v="HANIF"/>
    <m/>
    <s v="SERVICE HANDPHONE"/>
    <m/>
    <x v="1"/>
    <m/>
    <s v="EKO RISDIYANTORO JATIMULYA"/>
    <m/>
    <x v="2"/>
    <m/>
    <s v="HANIF"/>
    <m/>
    <s v="LCD"/>
    <m/>
    <s v="APPLE"/>
    <m/>
    <s v="iphone xr"/>
    <m/>
    <s v="100152"/>
    <m/>
    <s v="LCD.. IPH XR B"/>
    <m/>
    <n v="194296.29629699999"/>
    <m/>
    <n v="1"/>
    <m/>
    <n v="265000"/>
    <m/>
    <n v="265000"/>
    <m/>
    <m/>
    <m/>
    <s v="N/A"/>
  </r>
  <r>
    <m/>
    <x v="12"/>
    <m/>
    <s v="MF-FP.24970"/>
    <m/>
    <s v="MF-ST.22471"/>
    <m/>
    <d v="2026-05-06T00:00:00"/>
    <m/>
    <s v="Umum"/>
    <m/>
    <s v="C.13203"/>
    <m/>
    <s v="IQBAL"/>
    <m/>
    <s v="HANIF"/>
    <m/>
    <s v="SERVICE HANDPHONE"/>
    <m/>
    <x v="2"/>
    <m/>
    <s v="EKO RISDIYANTORO JATIMULYA"/>
    <m/>
    <x v="2"/>
    <m/>
    <s v="HANIF"/>
    <m/>
    <s v="LCD"/>
    <m/>
    <s v="APPLE"/>
    <m/>
    <s v="iphone xr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12"/>
    <m/>
    <s v="MF-FP.24971"/>
    <m/>
    <s v="MF-ST.22472"/>
    <m/>
    <d v="2026-05-06T00:00:00"/>
    <m/>
    <s v="Umum"/>
    <m/>
    <s v="C.08780"/>
    <m/>
    <s v="RIO"/>
    <m/>
    <s v="HANIF"/>
    <m/>
    <s v="SERVICE HANDPHONE"/>
    <m/>
    <x v="0"/>
    <m/>
    <s v="ARI MARWAN"/>
    <m/>
    <x v="0"/>
    <m/>
    <s v="HANIF"/>
    <m/>
    <s v="LCD"/>
    <m/>
    <s v="XIAOMI"/>
    <m/>
    <s v="REDMI 6A"/>
    <m/>
    <s v="JASA71"/>
    <m/>
    <s v="JASA REPAIR"/>
    <m/>
    <n v="0"/>
    <m/>
    <n v="1"/>
    <m/>
    <n v="185000"/>
    <m/>
    <n v="185000"/>
    <m/>
    <m/>
    <m/>
    <s v="N/A"/>
  </r>
  <r>
    <m/>
    <x v="12"/>
    <m/>
    <s v="MF-FP.24971"/>
    <m/>
    <s v="MF-ST.22472"/>
    <m/>
    <d v="2026-05-06T00:00:00"/>
    <m/>
    <s v="Umum"/>
    <m/>
    <s v="C.08780"/>
    <m/>
    <s v="RIO"/>
    <m/>
    <s v="HANIF"/>
    <m/>
    <s v="SERVICE HANDPHONE"/>
    <m/>
    <x v="2"/>
    <m/>
    <s v="ARI MARWAN"/>
    <m/>
    <x v="0"/>
    <m/>
    <s v="HANIF"/>
    <m/>
    <s v="LCD"/>
    <m/>
    <s v="XIAOMI"/>
    <m/>
    <s v="REDMI 6A"/>
    <m/>
    <s v="AKOR-014"/>
    <m/>
    <s v="ORAIMO CABLE TYPE-C 2A OCD-114C"/>
    <m/>
    <n v="15000"/>
    <m/>
    <n v="1"/>
    <m/>
    <n v="25000"/>
    <m/>
    <n v="25000"/>
    <m/>
    <m/>
    <m/>
    <s v="N/A"/>
  </r>
  <r>
    <m/>
    <x v="12"/>
    <m/>
    <s v="MF-FP.24971"/>
    <m/>
    <s v="MF-ST.22472"/>
    <m/>
    <d v="2026-05-06T00:00:00"/>
    <m/>
    <s v="Umum"/>
    <m/>
    <s v="C.08780"/>
    <m/>
    <s v="RIO"/>
    <m/>
    <s v="HANIF"/>
    <m/>
    <s v="SERVICE HANDPHONE"/>
    <m/>
    <x v="1"/>
    <m/>
    <s v="ARI MARWAN"/>
    <m/>
    <x v="0"/>
    <m/>
    <s v="HANIF"/>
    <m/>
    <s v="LCD"/>
    <m/>
    <s v="XIAOMI"/>
    <m/>
    <s v="REDMI 6A"/>
    <m/>
    <s v="100813"/>
    <m/>
    <s v="LCD.. XIO REDMI 6 REDMI 6A B FST"/>
    <m/>
    <n v="91333.333333000002"/>
    <m/>
    <n v="1"/>
    <m/>
    <n v="140000"/>
    <m/>
    <n v="140000"/>
    <m/>
    <m/>
    <m/>
    <s v="N/A"/>
  </r>
  <r>
    <m/>
    <x v="12"/>
    <m/>
    <s v="MF-FP.24972"/>
    <m/>
    <s v="MF-ST.22468"/>
    <m/>
    <d v="2026-05-06T00:00:00"/>
    <m/>
    <s v="Umum"/>
    <m/>
    <s v="C.11540"/>
    <m/>
    <s v="RIKO"/>
    <m/>
    <s v="HANIF"/>
    <m/>
    <s v="SERVICE HANDPHONE"/>
    <m/>
    <x v="2"/>
    <m/>
    <s v="ARI MARWAN"/>
    <m/>
    <x v="0"/>
    <m/>
    <s v="WAHYU PRATAMA"/>
    <m/>
    <s v="FLEXIBEL CHARGER (PAPAN KONEKTOR)"/>
    <m/>
    <s v="SAMSUNG"/>
    <m/>
    <s v="samsung a10"/>
    <m/>
    <s v="AKOR-014"/>
    <m/>
    <s v="ORAIMO CABLE TYPE-C 2A OCD-114C"/>
    <m/>
    <n v="15000"/>
    <m/>
    <n v="1"/>
    <m/>
    <n v="15000"/>
    <m/>
    <n v="15000"/>
    <m/>
    <m/>
    <m/>
    <s v="N/A"/>
  </r>
  <r>
    <m/>
    <x v="12"/>
    <m/>
    <s v="MF-FP.24972"/>
    <m/>
    <s v="MF-ST.22468"/>
    <m/>
    <d v="2026-05-06T00:00:00"/>
    <m/>
    <s v="Umum"/>
    <m/>
    <s v="C.11540"/>
    <m/>
    <s v="RIKO"/>
    <m/>
    <s v="HANIF"/>
    <m/>
    <s v="SERVICE HANDPHONE"/>
    <m/>
    <x v="0"/>
    <m/>
    <s v="ARI MARWAN"/>
    <m/>
    <x v="0"/>
    <m/>
    <s v="WAHYU PRATAMA"/>
    <m/>
    <s v="FLEXIBEL CHARGER (PAPAN KONEKTOR)"/>
    <m/>
    <s v="SAMSUNG"/>
    <m/>
    <s v="samsung a10"/>
    <m/>
    <s v="JASA71"/>
    <m/>
    <s v="JASA REPAIR"/>
    <m/>
    <n v="0"/>
    <m/>
    <n v="1"/>
    <m/>
    <n v="60000"/>
    <m/>
    <n v="60000"/>
    <m/>
    <m/>
    <m/>
    <s v="N/A"/>
  </r>
  <r>
    <m/>
    <x v="12"/>
    <m/>
    <s v="MF-FP.24974"/>
    <m/>
    <s v="MF-ST.22473"/>
    <m/>
    <d v="2026-05-06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1367"/>
    <m/>
    <s v="VIVAN VSP10T CRYSTAL CLEAR FOR TABLET 7-11&quot; HYDROGEL"/>
    <m/>
    <n v="36279.313170000001"/>
    <m/>
    <n v="1"/>
    <m/>
    <n v="40000"/>
    <m/>
    <n v="40000"/>
    <m/>
    <m/>
    <m/>
    <s v="N/A"/>
  </r>
  <r>
    <m/>
    <x v="12"/>
    <m/>
    <s v="MF-FP.24975"/>
    <m/>
    <s v="MF-ST.22443"/>
    <m/>
    <d v="2026-05-05T00:00:00"/>
    <m/>
    <s v="Umum"/>
    <m/>
    <s v="C.13186"/>
    <m/>
    <s v="KOMAR"/>
    <m/>
    <s v="HANIF"/>
    <m/>
    <s v="SERVICE LAPTOP"/>
    <m/>
    <x v="0"/>
    <m/>
    <s v="ARIFIN SANTOSO JATIMULYA"/>
    <m/>
    <x v="6"/>
    <m/>
    <s v="WAHYU PRATAMA"/>
    <m/>
    <s v="HARDWARE"/>
    <m/>
    <s v="HP"/>
    <m/>
    <s v="HP"/>
    <m/>
    <s v="JASA71"/>
    <m/>
    <s v="JASA REPAIR"/>
    <m/>
    <n v="0"/>
    <m/>
    <n v="1"/>
    <m/>
    <n v="250000"/>
    <m/>
    <n v="250000"/>
    <m/>
    <m/>
    <m/>
    <s v="N/A"/>
  </r>
  <r>
    <m/>
    <x v="12"/>
    <m/>
    <s v="MF-FP.24975"/>
    <m/>
    <s v="MF-ST.22443"/>
    <m/>
    <d v="2026-05-05T00:00:00"/>
    <m/>
    <s v="Umum"/>
    <m/>
    <s v="C.13186"/>
    <m/>
    <s v="KOMAR"/>
    <m/>
    <s v="HANIF"/>
    <m/>
    <s v="SERVICE LAPTOP"/>
    <m/>
    <x v="1"/>
    <m/>
    <s v="ARIFIN SANTOSO JATIMULYA"/>
    <m/>
    <x v="6"/>
    <m/>
    <s v="WAHYU PRATAMA"/>
    <m/>
    <s v="HARDWARE"/>
    <m/>
    <s v="HP"/>
    <m/>
    <s v="HP"/>
    <m/>
    <s v="104529"/>
    <m/>
    <s v="BATER LPT HP HS04"/>
    <m/>
    <n v="158108.10810799999"/>
    <m/>
    <n v="1"/>
    <m/>
    <n v="185000"/>
    <m/>
    <n v="185000"/>
    <m/>
    <m/>
    <m/>
    <s v="N/A"/>
  </r>
  <r>
    <m/>
    <x v="12"/>
    <m/>
    <s v="MF-FP.24975"/>
    <m/>
    <s v="MF-ST.22443"/>
    <m/>
    <d v="2026-05-05T00:00:00"/>
    <m/>
    <s v="Umum"/>
    <m/>
    <s v="C.13186"/>
    <m/>
    <s v="KOMAR"/>
    <m/>
    <s v="HANIF"/>
    <m/>
    <s v="SERVICE LAPTOP"/>
    <m/>
    <x v="2"/>
    <m/>
    <s v="ARIFIN SANTOSO JATIMULYA"/>
    <m/>
    <x v="6"/>
    <m/>
    <s v="WAHYU PRATAMA"/>
    <m/>
    <s v="HARDWARE"/>
    <m/>
    <s v="HP"/>
    <m/>
    <s v="HP"/>
    <m/>
    <s v="AKOR-014"/>
    <m/>
    <s v="ORAIMO CABLE TYPE-C 2A OCD-114C"/>
    <m/>
    <n v="15000"/>
    <m/>
    <n v="1"/>
    <m/>
    <n v="15000"/>
    <m/>
    <n v="15000"/>
    <m/>
    <m/>
    <m/>
    <s v="N/A"/>
  </r>
  <r>
    <m/>
    <x v="12"/>
    <m/>
    <s v="MF-FP.24977"/>
    <m/>
    <s v="MF-ST.22419"/>
    <m/>
    <d v="2026-05-03T00:00:00"/>
    <m/>
    <s v="Umum"/>
    <m/>
    <s v="C.13179"/>
    <m/>
    <s v="RAISYA"/>
    <m/>
    <s v="HANIF"/>
    <m/>
    <s v="SERVICE HANDPHONE"/>
    <m/>
    <x v="1"/>
    <m/>
    <s v="YUVI NOFERIANTO"/>
    <m/>
    <x v="4"/>
    <m/>
    <s v="WAHYU PRATAMA"/>
    <m/>
    <s v="LCD"/>
    <m/>
    <s v="APPLE"/>
    <m/>
    <s v="XS"/>
    <m/>
    <s v="107246"/>
    <m/>
    <s v="KMBLK IPH XS/XS MAX"/>
    <m/>
    <n v="289000"/>
    <m/>
    <n v="1"/>
    <m/>
    <n v="250000"/>
    <m/>
    <n v="250000"/>
    <m/>
    <s v="HANIF"/>
    <m/>
    <s v="N/A"/>
  </r>
  <r>
    <m/>
    <x v="12"/>
    <m/>
    <s v="MF-FP.24977"/>
    <m/>
    <s v="MF-ST.22419"/>
    <m/>
    <d v="2026-05-03T00:00:00"/>
    <m/>
    <s v="Umum"/>
    <m/>
    <s v="C.13179"/>
    <m/>
    <s v="RAISYA"/>
    <m/>
    <s v="HANIF"/>
    <m/>
    <s v="SERVICE HANDPHONE"/>
    <m/>
    <x v="2"/>
    <m/>
    <s v="YUVI NOFERIANTO"/>
    <m/>
    <x v="4"/>
    <m/>
    <s v="WAHYU PRATAMA"/>
    <m/>
    <s v="LCD"/>
    <m/>
    <s v="APPLE"/>
    <m/>
    <s v="XS"/>
    <m/>
    <s v="AKOR-014"/>
    <m/>
    <s v="ORAIMO CABLE TYPE-C 2A OCD-114C"/>
    <m/>
    <n v="15000"/>
    <m/>
    <n v="1"/>
    <m/>
    <n v="15000"/>
    <m/>
    <n v="15000"/>
    <m/>
    <s v="HANIF"/>
    <m/>
    <s v="N/A"/>
  </r>
  <r>
    <m/>
    <x v="12"/>
    <m/>
    <s v="MF-FP.24979"/>
    <m/>
    <s v="MF-ST.22469"/>
    <m/>
    <d v="2026-05-06T00:00:00"/>
    <m/>
    <s v="Member Reguler"/>
    <m/>
    <s v="C.12861"/>
    <m/>
    <s v="NYOMAN"/>
    <m/>
    <s v="HANIF"/>
    <m/>
    <s v="SERVICE HANDPHONE"/>
    <m/>
    <x v="0"/>
    <m/>
    <s v="MUSTOFA"/>
    <m/>
    <x v="0"/>
    <m/>
    <s v="WAHYU PRATAMA"/>
    <m/>
    <s v="HARDWARE"/>
    <m/>
    <s v="XIAOMI"/>
    <m/>
    <s v="poco x5"/>
    <m/>
    <s v="JASA71"/>
    <m/>
    <s v="JASA REPAIR"/>
    <m/>
    <n v="0"/>
    <m/>
    <n v="1"/>
    <m/>
    <n v="160000"/>
    <m/>
    <n v="160000"/>
    <m/>
    <s v="Achmad Indrawanto"/>
    <m/>
    <s v="N/A"/>
  </r>
  <r>
    <m/>
    <x v="12"/>
    <m/>
    <s v="MF-FP.24979"/>
    <m/>
    <s v="MF-ST.22469"/>
    <m/>
    <d v="2026-05-06T00:00:00"/>
    <m/>
    <s v="Member Reguler"/>
    <m/>
    <s v="C.12861"/>
    <m/>
    <s v="NYOMAN"/>
    <m/>
    <s v="HANIF"/>
    <m/>
    <s v="SERVICE HANDPHONE"/>
    <m/>
    <x v="1"/>
    <m/>
    <s v="MUSTOFA"/>
    <m/>
    <x v="0"/>
    <m/>
    <s v="WAHYU PRATAMA"/>
    <m/>
    <s v="HARDWARE"/>
    <m/>
    <s v="XIAOMI"/>
    <m/>
    <s v="poco x5"/>
    <m/>
    <s v="105575"/>
    <m/>
    <s v="FLCRG XIO REDMI NOTE 12 5G / POCO X5"/>
    <m/>
    <n v="22000"/>
    <m/>
    <n v="1"/>
    <m/>
    <n v="50000"/>
    <m/>
    <n v="50000"/>
    <m/>
    <s v="Achmad Indrawanto"/>
    <m/>
    <s v="N/A"/>
  </r>
  <r>
    <m/>
    <x v="12"/>
    <m/>
    <s v="MF-FP.24979"/>
    <m/>
    <s v="MF-ST.22469"/>
    <m/>
    <d v="2026-05-06T00:00:00"/>
    <m/>
    <s v="Member Reguler"/>
    <m/>
    <s v="C.12861"/>
    <m/>
    <s v="NYOMAN"/>
    <m/>
    <s v="HANIF"/>
    <m/>
    <s v="SERVICE HANDPHONE"/>
    <m/>
    <x v="2"/>
    <m/>
    <s v="MUSTOFA"/>
    <m/>
    <x v="0"/>
    <m/>
    <s v="WAHYU PRATAMA"/>
    <m/>
    <s v="HARDWARE"/>
    <m/>
    <s v="XIAOMI"/>
    <m/>
    <s v="poco x5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12"/>
    <m/>
    <s v="MF-FP.24977"/>
    <m/>
    <s v="MF-ST.22419"/>
    <m/>
    <d v="2026-05-03T00:00:00"/>
    <m/>
    <s v="Umum"/>
    <m/>
    <s v="C.13179"/>
    <m/>
    <s v="RAISYA"/>
    <m/>
    <s v="HANIF"/>
    <m/>
    <s v="SERVICE HANDPHONE"/>
    <m/>
    <x v="0"/>
    <m/>
    <s v="YUVI NOFERIANTO"/>
    <m/>
    <x v="4"/>
    <m/>
    <s v="WAHYU PRATAMA"/>
    <m/>
    <s v="LCD"/>
    <m/>
    <s v="APPLE"/>
    <m/>
    <s v="XS"/>
    <m/>
    <s v="JASA71"/>
    <m/>
    <s v="JASA REPAIR"/>
    <m/>
    <n v="0"/>
    <m/>
    <n v="1"/>
    <m/>
    <n v="35000"/>
    <m/>
    <n v="35000"/>
    <m/>
    <s v="HANIF"/>
    <m/>
    <s v="N/A"/>
  </r>
  <r>
    <m/>
    <x v="12"/>
    <m/>
    <s v="MF-FP.24978"/>
    <m/>
    <s v="MF-ST.22476"/>
    <m/>
    <d v="2026-05-06T00:00:00"/>
    <m/>
    <s v="Umum"/>
    <m/>
    <s v="C.09211"/>
    <m/>
    <s v="TRI"/>
    <m/>
    <s v="Achmad Indrawanto"/>
    <m/>
    <s v="SERVICE HANDPHONE"/>
    <m/>
    <x v="0"/>
    <m/>
    <s v="MUSTOFA"/>
    <m/>
    <x v="1"/>
    <m/>
    <s v="Achmad Indrawanto"/>
    <m/>
    <s v="REPAIR"/>
    <m/>
    <s v="OPPO"/>
    <m/>
    <s v="Oppo reno 2f"/>
    <m/>
    <s v="JASA71"/>
    <m/>
    <s v="JASA REPAIR"/>
    <m/>
    <n v="0"/>
    <m/>
    <n v="1"/>
    <m/>
    <n v="125000"/>
    <m/>
    <n v="125000"/>
    <m/>
    <m/>
    <m/>
    <s v="N/A"/>
  </r>
  <r>
    <m/>
    <x v="12"/>
    <m/>
    <s v="MF-FP.24978"/>
    <m/>
    <s v="MF-ST.22476"/>
    <m/>
    <d v="2026-05-06T00:00:00"/>
    <m/>
    <s v="Umum"/>
    <m/>
    <s v="C.09211"/>
    <m/>
    <s v="TRI"/>
    <m/>
    <s v="Achmad Indrawanto"/>
    <m/>
    <s v="SERVICE HANDPHONE"/>
    <m/>
    <x v="2"/>
    <m/>
    <s v="MUSTOFA"/>
    <m/>
    <x v="1"/>
    <m/>
    <s v="Achmad Indrawanto"/>
    <m/>
    <s v="REPAIR"/>
    <m/>
    <s v="OPPO"/>
    <m/>
    <s v="Oppo reno 2f"/>
    <m/>
    <s v="AKOR-014"/>
    <m/>
    <s v="ORAIMO CABLE TYPE-C 2A OCD-114C"/>
    <m/>
    <n v="15000"/>
    <m/>
    <n v="1"/>
    <m/>
    <n v="25000"/>
    <m/>
    <n v="25000"/>
    <m/>
    <m/>
    <m/>
    <s v="N/A"/>
  </r>
  <r>
    <m/>
    <x v="12"/>
    <m/>
    <s v="MF-FP.24981"/>
    <m/>
    <s v="MF-ST.22187"/>
    <m/>
    <d v="2026-04-25T00:00:00"/>
    <m/>
    <s v="Umum"/>
    <m/>
    <s v="C.13089"/>
    <m/>
    <s v="INA"/>
    <m/>
    <s v="HANIF"/>
    <m/>
    <s v="SERVICE LAPTOP"/>
    <m/>
    <x v="0"/>
    <m/>
    <s v="ARIFIN SANTOSO JATIMULYA"/>
    <m/>
    <x v="6"/>
    <m/>
    <s v="WAHYU PRATAMA"/>
    <m/>
    <s v="KEYBOARD"/>
    <m/>
    <s v="ASUS"/>
    <m/>
    <s v="A407U"/>
    <m/>
    <s v="JASA71"/>
    <m/>
    <s v="JASA REPAIR"/>
    <m/>
    <n v="0"/>
    <m/>
    <n v="1"/>
    <m/>
    <n v="350000"/>
    <m/>
    <n v="350000"/>
    <m/>
    <m/>
    <m/>
    <s v="N/A"/>
  </r>
  <r>
    <m/>
    <x v="12"/>
    <m/>
    <s v="MF-FP.24981"/>
    <m/>
    <s v="MF-ST.22187"/>
    <m/>
    <d v="2026-04-25T00:00:00"/>
    <m/>
    <s v="Umum"/>
    <m/>
    <s v="C.13089"/>
    <m/>
    <s v="INA"/>
    <m/>
    <s v="HANIF"/>
    <m/>
    <s v="SERVICE LAPTOP"/>
    <m/>
    <x v="1"/>
    <m/>
    <s v="ARIFIN SANTOSO JATIMULYA"/>
    <m/>
    <x v="6"/>
    <m/>
    <s v="WAHYU PRATAMA"/>
    <m/>
    <s v="KEYBOARD"/>
    <m/>
    <s v="ASUS"/>
    <m/>
    <s v="A407U"/>
    <m/>
    <s v="105385"/>
    <m/>
    <s v="KYBRD LPT ASS A407 A407U"/>
    <m/>
    <n v="95151.515152000007"/>
    <m/>
    <n v="1"/>
    <m/>
    <n v="85000"/>
    <m/>
    <n v="85000"/>
    <m/>
    <m/>
    <m/>
    <s v="N/A"/>
  </r>
  <r>
    <m/>
    <x v="12"/>
    <m/>
    <s v="MF-FP.24981"/>
    <m/>
    <s v="MF-ST.22187"/>
    <m/>
    <d v="2026-04-25T00:00:00"/>
    <m/>
    <s v="Umum"/>
    <m/>
    <s v="C.13089"/>
    <m/>
    <s v="INA"/>
    <m/>
    <s v="HANIF"/>
    <m/>
    <s v="SERVICE LAPTOP"/>
    <m/>
    <x v="2"/>
    <m/>
    <s v="ARIFIN SANTOSO JATIMULYA"/>
    <m/>
    <x v="6"/>
    <m/>
    <s v="WAHYU PRATAMA"/>
    <m/>
    <s v="KEYBOARD"/>
    <m/>
    <s v="ASUS"/>
    <m/>
    <s v="A407U"/>
    <m/>
    <s v="AKOR-014"/>
    <m/>
    <s v="ORAIMO CABLE TYPE-C 2A OCD-114C"/>
    <m/>
    <n v="15000"/>
    <m/>
    <n v="1"/>
    <m/>
    <n v="15000"/>
    <m/>
    <n v="15000"/>
    <m/>
    <m/>
    <m/>
    <s v="N/A"/>
  </r>
  <r>
    <m/>
    <x v="12"/>
    <m/>
    <s v="MF-FP.24989"/>
    <m/>
    <s v="MF-ST.22487"/>
    <m/>
    <d v="2026-05-06T00:00:00"/>
    <m/>
    <s v="Member Reguler"/>
    <m/>
    <s v="C.01952"/>
    <m/>
    <s v="AHMAD DIMAS"/>
    <m/>
    <s v="WAHYU PRATAMA"/>
    <m/>
    <s v="PENJUALAN AKSESORIS"/>
    <m/>
    <x v="2"/>
    <m/>
    <s v="N/A"/>
    <m/>
    <x v="5"/>
    <m/>
    <s v="WAHYU PRATAMA"/>
    <m/>
    <s v="REPAIR"/>
    <m/>
    <s v="SAMSUNG"/>
    <m/>
    <s v="SAM"/>
    <m/>
    <s v="100025"/>
    <m/>
    <s v="VIVAN HYDROGEL BASIC CRYSTAL CLEAR VSP01T"/>
    <m/>
    <n v="11151.582562"/>
    <m/>
    <n v="1"/>
    <m/>
    <n v="75000"/>
    <m/>
    <n v="75000"/>
    <m/>
    <s v="TEGAR PUTRA YANSA SALES"/>
    <m/>
    <s v="N/A"/>
  </r>
  <r>
    <m/>
    <x v="12"/>
    <m/>
    <s v="MF-FP.24983"/>
    <m/>
    <s v="MF-ST.22415"/>
    <m/>
    <d v="2026-05-03T00:00:00"/>
    <m/>
    <s v="Umum"/>
    <m/>
    <s v="C.13178"/>
    <m/>
    <s v="ASTRID"/>
    <m/>
    <s v="HANIF"/>
    <m/>
    <s v="SERVICE LAPTOP"/>
    <m/>
    <x v="0"/>
    <m/>
    <s v="ARIFIN SANTOSO JATIMULYA"/>
    <m/>
    <x v="6"/>
    <m/>
    <s v="Achmad Indrawanto"/>
    <m/>
    <s v="SOFTWARE"/>
    <m/>
    <s v="ASUS"/>
    <m/>
    <s v="Asus e410m"/>
    <m/>
    <s v="JASA71"/>
    <m/>
    <s v="JASA REPAIR"/>
    <m/>
    <n v="0"/>
    <m/>
    <n v="1"/>
    <m/>
    <n v="525000"/>
    <m/>
    <n v="525000"/>
    <m/>
    <s v="HANIF"/>
    <m/>
    <s v="N/A"/>
  </r>
  <r>
    <m/>
    <x v="12"/>
    <m/>
    <s v="MF-FP.24983"/>
    <m/>
    <s v="MF-ST.22415"/>
    <m/>
    <d v="2026-05-03T00:00:00"/>
    <m/>
    <s v="Umum"/>
    <m/>
    <s v="C.13178"/>
    <m/>
    <s v="ASTRID"/>
    <m/>
    <s v="HANIF"/>
    <m/>
    <s v="SERVICE LAPTOP"/>
    <m/>
    <x v="1"/>
    <m/>
    <s v="ARIFIN SANTOSO JATIMULYA"/>
    <m/>
    <x v="6"/>
    <m/>
    <s v="Achmad Indrawanto"/>
    <m/>
    <s v="SOFTWARE"/>
    <m/>
    <s v="ASUS"/>
    <m/>
    <s v="Asus e410m"/>
    <m/>
    <s v="102685"/>
    <m/>
    <s v="BATER LPT ASS E410 E410M E410K L410M E510 L510 C31N1912"/>
    <m/>
    <n v="250000"/>
    <m/>
    <n v="1"/>
    <m/>
    <n v="350000"/>
    <m/>
    <n v="350000"/>
    <m/>
    <s v="HANIF"/>
    <m/>
    <s v="N/A"/>
  </r>
  <r>
    <m/>
    <x v="12"/>
    <m/>
    <s v="MF-FP.24983"/>
    <m/>
    <s v="MF-ST.22415"/>
    <m/>
    <d v="2026-05-03T00:00:00"/>
    <m/>
    <s v="Umum"/>
    <m/>
    <s v="C.13178"/>
    <m/>
    <s v="ASTRID"/>
    <m/>
    <s v="HANIF"/>
    <m/>
    <s v="SERVICE LAPTOP"/>
    <m/>
    <x v="2"/>
    <m/>
    <s v="ARIFIN SANTOSO JATIMULYA"/>
    <m/>
    <x v="6"/>
    <m/>
    <s v="Achmad Indrawanto"/>
    <m/>
    <s v="SOFTWARE"/>
    <m/>
    <s v="ASUS"/>
    <m/>
    <s v="Asus e410m"/>
    <m/>
    <s v="AKOR-014"/>
    <m/>
    <s v="ORAIMO CABLE TYPE-C 2A OCD-114C"/>
    <m/>
    <n v="15000"/>
    <m/>
    <n v="1"/>
    <m/>
    <n v="25000"/>
    <m/>
    <n v="25000"/>
    <m/>
    <s v="HANIF"/>
    <m/>
    <s v="N/A"/>
  </r>
  <r>
    <m/>
    <x v="12"/>
    <m/>
    <s v="MF-FP.24985"/>
    <m/>
    <s v="MF-ST.22486"/>
    <m/>
    <d v="2026-05-06T00:00:00"/>
    <m/>
    <s v="Member Reguler"/>
    <m/>
    <s v="C.01946"/>
    <m/>
    <s v="Pak Agus / Ummu Zahraa"/>
    <m/>
    <s v="Achmad Indrawanto"/>
    <m/>
    <s v="SERVICE HANDPHONE"/>
    <m/>
    <x v="0"/>
    <m/>
    <s v="YUVI NOFERIANTO"/>
    <m/>
    <x v="4"/>
    <m/>
    <s v="Achmad Indrawanto"/>
    <m/>
    <s v="REPAIR"/>
    <m/>
    <s v="SAMSUNG"/>
    <m/>
    <s v="Samsung a32"/>
    <m/>
    <s v="JASA71"/>
    <m/>
    <s v="JASA REPAIR"/>
    <m/>
    <n v="0"/>
    <m/>
    <n v="1"/>
    <m/>
    <n v="25000"/>
    <m/>
    <n v="25000"/>
    <m/>
    <s v="TEGAR PUTRA YANSA SALES"/>
    <m/>
    <s v="N/A"/>
  </r>
  <r>
    <m/>
    <x v="12"/>
    <m/>
    <s v="MF-FP.24985"/>
    <m/>
    <s v="MF-ST.22486"/>
    <m/>
    <d v="2026-05-06T00:00:00"/>
    <m/>
    <s v="Member Reguler"/>
    <m/>
    <s v="C.01946"/>
    <m/>
    <s v="Pak Agus / Ummu Zahraa"/>
    <m/>
    <s v="Achmad Indrawanto"/>
    <m/>
    <s v="SERVICE HANDPHONE"/>
    <m/>
    <x v="2"/>
    <m/>
    <s v="YUVI NOFERIANTO"/>
    <m/>
    <x v="4"/>
    <m/>
    <s v="Achmad Indrawanto"/>
    <m/>
    <s v="REPAIR"/>
    <m/>
    <s v="SAMSUNG"/>
    <m/>
    <s v="Samsung a32"/>
    <m/>
    <s v="AKOR-014"/>
    <m/>
    <s v="ORAIMO CABLE TYPE-C 2A OCD-114C"/>
    <m/>
    <n v="15000"/>
    <m/>
    <n v="1"/>
    <m/>
    <n v="25000"/>
    <m/>
    <n v="25000"/>
    <m/>
    <s v="TEGAR PUTRA YANSA SALES"/>
    <m/>
    <s v="N/A"/>
  </r>
  <r>
    <m/>
    <x v="12"/>
    <m/>
    <s v="MF-FP.24986"/>
    <m/>
    <s v="MF-ST.22485"/>
    <m/>
    <d v="2026-05-06T00:00:00"/>
    <m/>
    <s v="Member Reguler"/>
    <m/>
    <s v="C.01946"/>
    <m/>
    <s v="Pak Agus / Ummu Zahraa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7161"/>
    <m/>
    <s v="ANKER ZOLO CHARGER 30W PD 3.0 C TO C CABLE 3FT B2698L21 WHITE"/>
    <m/>
    <n v="149000"/>
    <m/>
    <n v="1"/>
    <m/>
    <n v="200000"/>
    <m/>
    <n v="200000"/>
    <m/>
    <s v="TEGAR PUTRA YANSA SALES"/>
    <m/>
    <s v="N/A"/>
  </r>
  <r>
    <m/>
    <x v="12"/>
    <m/>
    <s v="MF-FP.24987"/>
    <m/>
    <s v="MF-ST.22464"/>
    <m/>
    <d v="2026-05-05T00:00:00"/>
    <m/>
    <s v="Member Reguler"/>
    <m/>
    <s v="C.13200"/>
    <m/>
    <s v="RAHMA"/>
    <m/>
    <s v="Achmad Indrawanto"/>
    <m/>
    <s v="SERVICE HANDPHONE"/>
    <m/>
    <x v="0"/>
    <m/>
    <s v="EKO RISDIYANTORO JATIMULYA"/>
    <m/>
    <x v="2"/>
    <m/>
    <s v="WAHYU PRATAMA"/>
    <m/>
    <s v="REPAIR"/>
    <m/>
    <s v="SAMSUNG"/>
    <m/>
    <s v="Z FLIP 5"/>
    <m/>
    <s v="JASA71"/>
    <m/>
    <s v="JASA REPAIR"/>
    <m/>
    <n v="0"/>
    <m/>
    <n v="1"/>
    <m/>
    <n v="1815000"/>
    <m/>
    <n v="1815000"/>
    <m/>
    <s v="Achmad Indrawanto"/>
    <m/>
    <s v="N/A"/>
  </r>
  <r>
    <m/>
    <x v="12"/>
    <m/>
    <s v="MF-FP.24987"/>
    <m/>
    <s v="MF-ST.22464"/>
    <m/>
    <d v="2026-05-05T00:00:00"/>
    <m/>
    <s v="Member Reguler"/>
    <m/>
    <s v="C.13200"/>
    <m/>
    <s v="RAHMA"/>
    <m/>
    <s v="Achmad Indrawanto"/>
    <m/>
    <s v="SERVICE HANDPHONE"/>
    <m/>
    <x v="1"/>
    <m/>
    <s v="EKO RISDIYANTORO JATIMULYA"/>
    <m/>
    <x v="2"/>
    <m/>
    <s v="WAHYU PRATAMA"/>
    <m/>
    <s v="REPAIR"/>
    <m/>
    <s v="SAMSUNG"/>
    <m/>
    <s v="Z FLIP 5"/>
    <m/>
    <s v="102599"/>
    <m/>
    <s v="GLASS LCD VIV Y12/Y15/Y17"/>
    <m/>
    <n v="10000"/>
    <m/>
    <n v="1"/>
    <m/>
    <n v="20000"/>
    <m/>
    <n v="20000"/>
    <m/>
    <s v="Achmad Indrawanto"/>
    <m/>
    <s v="N/A"/>
  </r>
  <r>
    <m/>
    <x v="12"/>
    <m/>
    <s v="MF-FP.24990"/>
    <m/>
    <s v="MF-ST.22488"/>
    <m/>
    <d v="2026-05-06T00:00:00"/>
    <m/>
    <s v="Member Reguler"/>
    <m/>
    <s v="MJ1814"/>
    <m/>
    <s v="IRNA"/>
    <m/>
    <s v="WAHYU PRATAMA"/>
    <m/>
    <s v="SERVICE HANDPHONE"/>
    <m/>
    <x v="0"/>
    <m/>
    <s v="MUSTOFA"/>
    <m/>
    <x v="1"/>
    <m/>
    <s v="WAHYU PRATAMA"/>
    <m/>
    <s v="LCD"/>
    <m/>
    <s v="XIAOMI"/>
    <m/>
    <s v="note 10"/>
    <m/>
    <s v="JASA71"/>
    <m/>
    <s v="JASA REPAIR"/>
    <m/>
    <n v="0"/>
    <m/>
    <n v="1"/>
    <m/>
    <n v="250000"/>
    <m/>
    <n v="250000"/>
    <m/>
    <s v="ANWAR RHAMDANI SALES"/>
    <m/>
    <s v="N/A"/>
  </r>
  <r>
    <m/>
    <x v="12"/>
    <m/>
    <s v="MF-FP.24990"/>
    <m/>
    <s v="MF-ST.22488"/>
    <m/>
    <d v="2026-05-06T00:00:00"/>
    <m/>
    <s v="Member Reguler"/>
    <m/>
    <s v="MJ1814"/>
    <m/>
    <s v="IRNA"/>
    <m/>
    <s v="WAHYU PRATAMA"/>
    <m/>
    <s v="SERVICE HANDPHONE"/>
    <m/>
    <x v="1"/>
    <m/>
    <s v="MUSTOFA"/>
    <m/>
    <x v="1"/>
    <m/>
    <s v="WAHYU PRATAMA"/>
    <m/>
    <s v="LCD"/>
    <m/>
    <s v="XIAOMI"/>
    <m/>
    <s v="note 10"/>
    <m/>
    <s v="100238"/>
    <m/>
    <s v="LCD.. XIO REDMI NOTE 10 4G/REDMI NOTE 10S B"/>
    <m/>
    <n v="140001"/>
    <m/>
    <n v="1"/>
    <m/>
    <n v="185000"/>
    <m/>
    <n v="185000"/>
    <m/>
    <s v="ANWAR RHAMDANI SALES"/>
    <m/>
    <s v="N/A"/>
  </r>
  <r>
    <m/>
    <x v="12"/>
    <m/>
    <s v="MF-FP.24990"/>
    <m/>
    <s v="MF-ST.22488"/>
    <m/>
    <d v="2026-05-06T00:00:00"/>
    <m/>
    <s v="Member Reguler"/>
    <m/>
    <s v="MJ1814"/>
    <m/>
    <s v="IRNA"/>
    <m/>
    <s v="WAHYU PRATAMA"/>
    <m/>
    <s v="SERVICE HANDPHONE"/>
    <m/>
    <x v="2"/>
    <m/>
    <s v="MUSTOFA"/>
    <m/>
    <x v="1"/>
    <m/>
    <s v="WAHYU PRATAMA"/>
    <m/>
    <s v="LCD"/>
    <m/>
    <s v="XIAOMI"/>
    <m/>
    <s v="note 10"/>
    <m/>
    <s v="AKOR-014"/>
    <m/>
    <s v="ORAIMO CABLE TYPE-C 2A OCD-114C"/>
    <m/>
    <n v="15000"/>
    <m/>
    <n v="1"/>
    <m/>
    <n v="15000"/>
    <m/>
    <n v="15000"/>
    <m/>
    <s v="ANWAR RHAMDANI SALES"/>
    <m/>
    <s v="N/A"/>
  </r>
  <r>
    <m/>
    <x v="12"/>
    <m/>
    <s v="MF-FP.24987"/>
    <m/>
    <s v="MF-ST.22464"/>
    <m/>
    <d v="2026-05-05T00:00:00"/>
    <m/>
    <s v="Member Reguler"/>
    <m/>
    <s v="C.13200"/>
    <m/>
    <s v="RAHMA"/>
    <m/>
    <s v="Achmad Indrawanto"/>
    <m/>
    <s v="SERVICE HANDPHONE"/>
    <m/>
    <x v="1"/>
    <m/>
    <s v="EKO RISDIYANTORO JATIMULYA"/>
    <m/>
    <x v="2"/>
    <m/>
    <s v="WAHYU PRATAMA"/>
    <m/>
    <s v="REPAIR"/>
    <m/>
    <s v="SAMSUNG"/>
    <m/>
    <s v="Z FLIP 5"/>
    <m/>
    <s v="105667"/>
    <m/>
    <s v="FLEX. SAM ZFLIP 5"/>
    <m/>
    <n v="94020.408163"/>
    <m/>
    <n v="1"/>
    <m/>
    <n v="150000"/>
    <m/>
    <n v="150000"/>
    <m/>
    <s v="Achmad Indrawanto"/>
    <m/>
    <s v="N/A"/>
  </r>
  <r>
    <m/>
    <x v="12"/>
    <m/>
    <s v="MF-FP.24987"/>
    <m/>
    <s v="MF-ST.22464"/>
    <m/>
    <d v="2026-05-05T00:00:00"/>
    <m/>
    <s v="Member Reguler"/>
    <m/>
    <s v="C.13200"/>
    <m/>
    <s v="RAHMA"/>
    <m/>
    <s v="Achmad Indrawanto"/>
    <m/>
    <s v="SERVICE HANDPHONE"/>
    <m/>
    <x v="2"/>
    <m/>
    <s v="EKO RISDIYANTORO JATIMULYA"/>
    <m/>
    <x v="2"/>
    <m/>
    <s v="WAHYU PRATAMA"/>
    <m/>
    <s v="REPAIR"/>
    <m/>
    <s v="SAMSUNG"/>
    <m/>
    <s v="Z FLIP 5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13"/>
    <m/>
    <s v="MF-FP.24991"/>
    <m/>
    <s v="MF-ST.22477"/>
    <m/>
    <d v="2026-05-06T00:00:00"/>
    <m/>
    <s v="Umum"/>
    <m/>
    <s v="C.13205"/>
    <m/>
    <s v="RISKA"/>
    <m/>
    <s v="WAHYU PRATAMA"/>
    <m/>
    <s v="SERVICE LAPTOP"/>
    <m/>
    <x v="0"/>
    <m/>
    <s v="ARIFIN SANTOSO JATIMULYA"/>
    <m/>
    <x v="6"/>
    <m/>
    <s v="Achmad Indrawanto"/>
    <m/>
    <s v="SOFTWARE"/>
    <m/>
    <s v="AXIO"/>
    <m/>
    <s v="Axioo hype 10"/>
    <m/>
    <s v="JASA71"/>
    <m/>
    <s v="JASA REPAIR"/>
    <m/>
    <n v="0"/>
    <m/>
    <n v="1"/>
    <m/>
    <n v="225000"/>
    <m/>
    <n v="225000"/>
    <m/>
    <m/>
    <m/>
    <s v="N/A"/>
  </r>
  <r>
    <m/>
    <x v="13"/>
    <m/>
    <s v="MF-FP.24991"/>
    <m/>
    <s v="MF-ST.22477"/>
    <m/>
    <d v="2026-05-06T00:00:00"/>
    <m/>
    <s v="Umum"/>
    <m/>
    <s v="C.13205"/>
    <m/>
    <s v="RISKA"/>
    <m/>
    <s v="WAHYU PRATAMA"/>
    <m/>
    <s v="SERVICE LAPTOP"/>
    <m/>
    <x v="2"/>
    <m/>
    <s v="ARIFIN SANTOSO JATIMULYA"/>
    <m/>
    <x v="6"/>
    <m/>
    <s v="Achmad Indrawanto"/>
    <m/>
    <s v="SOFTWARE"/>
    <m/>
    <s v="AXIO"/>
    <m/>
    <s v="Axioo hype 10"/>
    <m/>
    <s v="AKOR-014"/>
    <m/>
    <s v="ORAIMO CABLE TYPE-C 2A OCD-114C"/>
    <m/>
    <n v="15000"/>
    <m/>
    <n v="1"/>
    <m/>
    <n v="25000"/>
    <m/>
    <n v="25000"/>
    <m/>
    <m/>
    <m/>
    <s v="N/A"/>
  </r>
  <r>
    <m/>
    <x v="13"/>
    <m/>
    <s v="MF-FP.24992"/>
    <m/>
    <s v="MF-ST.22491"/>
    <m/>
    <d v="2026-05-07T00:00:00"/>
    <m/>
    <s v="Member Reguler"/>
    <m/>
    <s v="C.13212"/>
    <m/>
    <s v="HARI"/>
    <m/>
    <s v="Achmad Indrawanto"/>
    <m/>
    <s v="PENJUALAN AKSESORIS"/>
    <m/>
    <x v="1"/>
    <m/>
    <s v="N/A"/>
    <m/>
    <x v="5"/>
    <m/>
    <s v="Achmad Indrawanto"/>
    <m/>
    <s v="N/A"/>
    <m/>
    <s v="BELUM ADA MERK"/>
    <m/>
    <s v="N/A"/>
    <m/>
    <s v="106806"/>
    <m/>
    <s v="ANKER CAR CHARGER 30W  2 PORTS A2741H11 BLACK"/>
    <m/>
    <n v="135000"/>
    <m/>
    <n v="1"/>
    <m/>
    <n v="180000"/>
    <m/>
    <n v="180000"/>
    <m/>
    <s v="Achmad Indrawanto"/>
    <m/>
    <s v="N/A"/>
  </r>
  <r>
    <m/>
    <x v="13"/>
    <m/>
    <s v="MF-FP.24993"/>
    <m/>
    <s v="MF-ST.22493"/>
    <m/>
    <d v="2026-05-07T00:00:00"/>
    <m/>
    <s v="Umum"/>
    <m/>
    <s v="C.13125"/>
    <m/>
    <s v="RIZAL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7157"/>
    <m/>
    <s v="ANKER ZOLO CHARGER 30W 1C GAN A2698L21 WHITE"/>
    <m/>
    <n v="130000"/>
    <m/>
    <n v="1"/>
    <m/>
    <n v="180000"/>
    <m/>
    <n v="180000"/>
    <m/>
    <m/>
    <m/>
    <s v="N/A"/>
  </r>
  <r>
    <m/>
    <x v="13"/>
    <m/>
    <s v="MF-FP.24994"/>
    <m/>
    <s v="MF-ST.22494"/>
    <m/>
    <d v="2026-05-07T00:00:00"/>
    <m/>
    <s v="Member Reguler"/>
    <m/>
    <s v="C.13214"/>
    <m/>
    <s v="BAGUS"/>
    <m/>
    <s v="Achmad Indrawanto"/>
    <m/>
    <s v="SERVICE HANDPHONE"/>
    <m/>
    <x v="0"/>
    <m/>
    <s v="MUSTOFA"/>
    <m/>
    <x v="1"/>
    <m/>
    <s v="WAHYU PRATAMA"/>
    <m/>
    <s v="BATERAI"/>
    <m/>
    <s v="OPPO"/>
    <m/>
    <s v="OPPO a58"/>
    <m/>
    <s v="JASA71"/>
    <m/>
    <s v="JASA REPAIR"/>
    <m/>
    <n v="0"/>
    <m/>
    <n v="1"/>
    <m/>
    <n v="160000"/>
    <m/>
    <n v="160000"/>
    <m/>
    <s v="Achmad Indrawanto"/>
    <m/>
    <s v="N/A"/>
  </r>
  <r>
    <m/>
    <x v="13"/>
    <m/>
    <s v="MF-FP.24994"/>
    <m/>
    <s v="MF-ST.22494"/>
    <m/>
    <d v="2026-05-07T00:00:00"/>
    <m/>
    <s v="Member Reguler"/>
    <m/>
    <s v="C.13214"/>
    <m/>
    <s v="BAGUS"/>
    <m/>
    <s v="Achmad Indrawanto"/>
    <m/>
    <s v="SERVICE HANDPHONE"/>
    <m/>
    <x v="1"/>
    <m/>
    <s v="MUSTOFA"/>
    <m/>
    <x v="1"/>
    <m/>
    <s v="WAHYU PRATAMA"/>
    <m/>
    <s v="BATERAI"/>
    <m/>
    <s v="OPPO"/>
    <m/>
    <s v="OPPO a58"/>
    <m/>
    <s v="105722"/>
    <m/>
    <s v="BATER OPP A58 BLPA19"/>
    <m/>
    <n v="101252.90923200001"/>
    <m/>
    <n v="1"/>
    <m/>
    <n v="150000"/>
    <m/>
    <n v="150000"/>
    <m/>
    <s v="Achmad Indrawanto"/>
    <m/>
    <s v="N/A"/>
  </r>
  <r>
    <m/>
    <x v="13"/>
    <m/>
    <s v="MF-FP.24994"/>
    <m/>
    <s v="MF-ST.22494"/>
    <m/>
    <d v="2026-05-07T00:00:00"/>
    <m/>
    <s v="Member Reguler"/>
    <m/>
    <s v="C.13214"/>
    <m/>
    <s v="BAGUS"/>
    <m/>
    <s v="Achmad Indrawanto"/>
    <m/>
    <s v="SERVICE HANDPHONE"/>
    <m/>
    <x v="2"/>
    <m/>
    <s v="MUSTOFA"/>
    <m/>
    <x v="1"/>
    <m/>
    <s v="WAHYU PRATAMA"/>
    <m/>
    <s v="BATERAI"/>
    <m/>
    <s v="OPPO"/>
    <m/>
    <s v="OPPO a58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13"/>
    <m/>
    <s v="MF-FP.24995"/>
    <m/>
    <s v="MF-ST.22495"/>
    <m/>
    <d v="2026-05-07T00:00:00"/>
    <m/>
    <s v="Umum"/>
    <m/>
    <s v="C.13215"/>
    <m/>
    <s v="MUHAMMAD YAMIN"/>
    <m/>
    <s v="WAHYU PRATAMA"/>
    <m/>
    <s v="SERVICE LAPTOP"/>
    <m/>
    <x v="0"/>
    <m/>
    <s v="ARIFIN SANTOSO JATIMULYA"/>
    <m/>
    <x v="6"/>
    <m/>
    <s v="TEGAR PUTRA YANSA SALES"/>
    <m/>
    <s v="CLEAN UP"/>
    <m/>
    <s v="DELL"/>
    <m/>
    <s v="LATITUDE E6540"/>
    <m/>
    <s v="JASA71"/>
    <m/>
    <s v="JASA REPAIR"/>
    <m/>
    <n v="0"/>
    <m/>
    <n v="1"/>
    <m/>
    <n v="235000"/>
    <m/>
    <n v="235000"/>
    <m/>
    <s v="TEGAR PUTRA YANSA SALES"/>
    <m/>
    <s v="N/A"/>
  </r>
  <r>
    <m/>
    <x v="13"/>
    <m/>
    <s v="MF-FP.24995"/>
    <m/>
    <s v="MF-ST.22495"/>
    <m/>
    <d v="2026-05-07T00:00:00"/>
    <m/>
    <s v="Umum"/>
    <m/>
    <s v="C.13215"/>
    <m/>
    <s v="MUHAMMAD YAMIN"/>
    <m/>
    <s v="WAHYU PRATAMA"/>
    <m/>
    <s v="SERVICE LAPTOP"/>
    <m/>
    <x v="2"/>
    <m/>
    <s v="ARIFIN SANTOSO JATIMULYA"/>
    <m/>
    <x v="6"/>
    <m/>
    <s v="TEGAR PUTRA YANSA SALES"/>
    <m/>
    <s v="CLEAN UP"/>
    <m/>
    <s v="DELL"/>
    <m/>
    <s v="LATITUDE E6540"/>
    <m/>
    <s v="AKOR-014"/>
    <m/>
    <s v="ORAIMO CABLE TYPE-C 2A OCD-114C"/>
    <m/>
    <n v="15000"/>
    <m/>
    <n v="1"/>
    <m/>
    <n v="15000"/>
    <m/>
    <n v="15000"/>
    <m/>
    <s v="TEGAR PUTRA YANSA SALES"/>
    <m/>
    <s v="N/A"/>
  </r>
  <r>
    <m/>
    <x v="13"/>
    <m/>
    <s v="MF-FP.24997"/>
    <m/>
    <s v="MF-ST.22474"/>
    <m/>
    <d v="2026-05-06T00:00:00"/>
    <m/>
    <s v="Umum"/>
    <m/>
    <s v="C.10246"/>
    <m/>
    <s v="SUTISNA"/>
    <m/>
    <s v="WAHYU PRATAMA"/>
    <m/>
    <s v="SERVICE HANDPHONE"/>
    <m/>
    <x v="2"/>
    <m/>
    <s v="YUVI NOFERIANTO"/>
    <m/>
    <x v="4"/>
    <m/>
    <s v="WAHYU PRATAMA"/>
    <m/>
    <s v="LCD"/>
    <m/>
    <s v="OPPO"/>
    <m/>
    <s v="Oppo a78 5g"/>
    <m/>
    <s v="AKOR-014"/>
    <m/>
    <s v="ORAIMO CABLE TYPE-C 2A OCD-114C"/>
    <m/>
    <n v="15000"/>
    <m/>
    <n v="1"/>
    <m/>
    <n v="15000"/>
    <m/>
    <n v="15000"/>
    <m/>
    <m/>
    <m/>
    <s v="N/A"/>
  </r>
  <r>
    <m/>
    <x v="13"/>
    <m/>
    <s v="MF-FP.24999"/>
    <m/>
    <s v="MF-ST.22497"/>
    <m/>
    <d v="2026-05-07T00:00:00"/>
    <m/>
    <s v="Umum"/>
    <m/>
    <s v="C.13216"/>
    <m/>
    <s v="RUDI"/>
    <m/>
    <s v="WAHYU PRATAMA"/>
    <m/>
    <s v="SERVICE HANDPHONE"/>
    <m/>
    <x v="0"/>
    <m/>
    <s v="EKO RISDIYANTORO JATIMULYA"/>
    <m/>
    <x v="2"/>
    <m/>
    <s v="WAHYU PRATAMA"/>
    <m/>
    <s v="REPAIR"/>
    <m/>
    <s v="SAMSUNG"/>
    <m/>
    <s v="A14"/>
    <m/>
    <s v="JASA71"/>
    <m/>
    <s v="JASA REPAIR"/>
    <m/>
    <n v="0"/>
    <m/>
    <n v="1"/>
    <m/>
    <n v="85000"/>
    <m/>
    <n v="85000"/>
    <m/>
    <m/>
    <m/>
    <s v="N/A"/>
  </r>
  <r>
    <m/>
    <x v="13"/>
    <m/>
    <s v="MF-FP.24999"/>
    <m/>
    <s v="MF-ST.22497"/>
    <m/>
    <d v="2026-05-07T00:00:00"/>
    <m/>
    <s v="Umum"/>
    <m/>
    <s v="C.13216"/>
    <m/>
    <s v="RUDI"/>
    <m/>
    <s v="WAHYU PRATAMA"/>
    <m/>
    <s v="SERVICE HANDPHONE"/>
    <m/>
    <x v="2"/>
    <m/>
    <s v="EKO RISDIYANTORO JATIMULYA"/>
    <m/>
    <x v="2"/>
    <m/>
    <s v="WAHYU PRATAMA"/>
    <m/>
    <s v="REPAIR"/>
    <m/>
    <s v="SAMSUNG"/>
    <m/>
    <s v="A14"/>
    <m/>
    <s v="AKOR-014"/>
    <m/>
    <s v="ORAIMO CABLE TYPE-C 2A OCD-114C"/>
    <m/>
    <n v="15000"/>
    <m/>
    <n v="1"/>
    <m/>
    <n v="15000"/>
    <m/>
    <n v="15000"/>
    <m/>
    <m/>
    <m/>
    <s v="N/A"/>
  </r>
  <r>
    <m/>
    <x v="13"/>
    <m/>
    <s v="MF-FP.25000"/>
    <m/>
    <m/>
    <m/>
    <m/>
    <m/>
    <m/>
    <m/>
    <s v="C.13145"/>
    <m/>
    <s v="ZEO"/>
    <m/>
    <m/>
    <m/>
    <s v="SERVICE HANDPHONE"/>
    <m/>
    <x v="1"/>
    <m/>
    <m/>
    <m/>
    <x v="4"/>
    <m/>
    <s v="WAHYU PRATAMA"/>
    <m/>
    <m/>
    <m/>
    <m/>
    <m/>
    <m/>
    <m/>
    <s v="100245"/>
    <m/>
    <s v="LCD.. SAM A22 4G A225F/M22 4G M225F B"/>
    <m/>
    <n v="160151.35416700001"/>
    <m/>
    <n v="1"/>
    <m/>
    <n v="245025"/>
    <m/>
    <n v="245025"/>
    <m/>
    <m/>
    <m/>
    <s v="N/A"/>
  </r>
  <r>
    <m/>
    <x v="13"/>
    <m/>
    <s v="MF-FP.24998"/>
    <m/>
    <s v="MF-ST.22490"/>
    <m/>
    <d v="2026-05-07T00:00:00"/>
    <m/>
    <s v="Umum"/>
    <m/>
    <s v="C.10508"/>
    <m/>
    <s v="SISKA"/>
    <m/>
    <s v="Achmad Indrawanto"/>
    <m/>
    <s v="SERVICE LAPTOP"/>
    <m/>
    <x v="0"/>
    <m/>
    <s v="MUSTOFA"/>
    <m/>
    <x v="1"/>
    <m/>
    <s v="WAHYU PRATAMA"/>
    <m/>
    <s v="LCD"/>
    <m/>
    <s v="SAMSUNG"/>
    <m/>
    <s v="SAMSUNG A71"/>
    <m/>
    <s v="JASA71"/>
    <m/>
    <s v="JASA REPAIR"/>
    <m/>
    <n v="0"/>
    <m/>
    <n v="1"/>
    <m/>
    <n v="450000"/>
    <m/>
    <n v="450000"/>
    <m/>
    <s v="Achmad Indrawanto"/>
    <m/>
    <s v="N/A"/>
  </r>
  <r>
    <m/>
    <x v="13"/>
    <m/>
    <s v="MF-FP.24998"/>
    <m/>
    <s v="MF-ST.22490"/>
    <m/>
    <d v="2026-05-07T00:00:00"/>
    <m/>
    <s v="Umum"/>
    <m/>
    <s v="C.10508"/>
    <m/>
    <s v="SISKA"/>
    <m/>
    <s v="Achmad Indrawanto"/>
    <m/>
    <s v="SERVICE LAPTOP"/>
    <m/>
    <x v="1"/>
    <m/>
    <s v="MUSTOFA"/>
    <m/>
    <x v="1"/>
    <m/>
    <s v="WAHYU PRATAMA"/>
    <m/>
    <s v="LCD"/>
    <m/>
    <s v="SAMSUNG"/>
    <m/>
    <s v="SAMSUNG A71"/>
    <m/>
    <s v="102011"/>
    <m/>
    <s v="LCD.. SAM A71 + FRAME OLED B"/>
    <m/>
    <n v="468968.55951300001"/>
    <m/>
    <n v="1"/>
    <m/>
    <n v="635000"/>
    <m/>
    <n v="635000"/>
    <m/>
    <s v="Achmad Indrawanto"/>
    <m/>
    <s v="N/A"/>
  </r>
  <r>
    <m/>
    <x v="13"/>
    <m/>
    <s v="MF-FP.24998"/>
    <m/>
    <s v="MF-ST.22490"/>
    <m/>
    <d v="2026-05-07T00:00:00"/>
    <m/>
    <s v="Umum"/>
    <m/>
    <s v="C.10508"/>
    <m/>
    <s v="SISKA"/>
    <m/>
    <s v="Achmad Indrawanto"/>
    <m/>
    <s v="SERVICE LAPTOP"/>
    <m/>
    <x v="2"/>
    <m/>
    <s v="MUSTOFA"/>
    <m/>
    <x v="1"/>
    <m/>
    <s v="WAHYU PRATAMA"/>
    <m/>
    <s v="LCD"/>
    <m/>
    <s v="SAMSUNG"/>
    <m/>
    <s v="SAMSUNG A71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13"/>
    <m/>
    <s v="MF-FP.25001"/>
    <m/>
    <s v="MF-ST.22498"/>
    <m/>
    <d v="2026-05-07T00:00:00"/>
    <m/>
    <s v="Umum"/>
    <m/>
    <s v="C.10863"/>
    <m/>
    <s v="PAK TRI AJI"/>
    <m/>
    <s v="WAHYU PRATAMA"/>
    <m/>
    <s v="PENJUALAN HANDPHONE"/>
    <m/>
    <x v="1"/>
    <m/>
    <s v="N/A"/>
    <m/>
    <x v="5"/>
    <m/>
    <s v="WAHYU PRATAMA"/>
    <m/>
    <s v="REPAIR"/>
    <m/>
    <s v="XIAOMI"/>
    <m/>
    <s v="15C"/>
    <m/>
    <s v="107257"/>
    <m/>
    <s v="XIAOMI REDMI 15C 8/256GB NEW"/>
    <m/>
    <n v="2210000"/>
    <m/>
    <n v="1"/>
    <m/>
    <n v="2265000"/>
    <m/>
    <n v="2265000"/>
    <m/>
    <s v="Achmad Indrawanto"/>
    <m/>
    <s v="N/A"/>
  </r>
  <r>
    <m/>
    <x v="13"/>
    <m/>
    <s v="MF-FP.25002"/>
    <m/>
    <s v="MF-ST.21529"/>
    <m/>
    <d v="2026-04-02T00:00:00"/>
    <m/>
    <s v="Member Reguler"/>
    <m/>
    <s v="MJ1470"/>
    <m/>
    <s v="NINGSIHD"/>
    <m/>
    <s v="Achmad Indrawanto"/>
    <m/>
    <s v="SERVICE HANDPHONE"/>
    <m/>
    <x v="0"/>
    <m/>
    <s v="YUVI NOFERIANTO"/>
    <m/>
    <x v="2"/>
    <m/>
    <s v="WAHYU PRATAMA"/>
    <m/>
    <s v="MATI TOTAL"/>
    <m/>
    <s v="XIAOMI"/>
    <m/>
    <s v="POCO X5"/>
    <m/>
    <s v="JASA71"/>
    <m/>
    <s v="JASA REPAIR"/>
    <m/>
    <n v="0"/>
    <m/>
    <n v="1"/>
    <m/>
    <n v="550000"/>
    <m/>
    <n v="550000"/>
    <m/>
    <s v="TEGAR PUTRA YANSA SALES"/>
    <m/>
    <s v="N/A"/>
  </r>
  <r>
    <m/>
    <x v="13"/>
    <m/>
    <s v="MF-FP.25002"/>
    <m/>
    <s v="MF-ST.21529"/>
    <m/>
    <d v="2026-04-02T00:00:00"/>
    <m/>
    <s v="Member Reguler"/>
    <m/>
    <s v="MJ1470"/>
    <m/>
    <s v="NINGSIHD"/>
    <m/>
    <s v="Achmad Indrawanto"/>
    <m/>
    <s v="SERVICE HANDPHONE"/>
    <m/>
    <x v="1"/>
    <m/>
    <s v="YUVI NOFERIANTO"/>
    <m/>
    <x v="2"/>
    <m/>
    <s v="WAHYU PRATAMA"/>
    <m/>
    <s v="MATI TOTAL"/>
    <m/>
    <s v="XIAOMI"/>
    <m/>
    <s v="POCO X5"/>
    <m/>
    <s v="102029"/>
    <m/>
    <s v="LCD.. XIO REDMI NOTE 12/POCO X5 B"/>
    <m/>
    <n v="155788.16760700001"/>
    <m/>
    <n v="1"/>
    <m/>
    <n v="235000"/>
    <m/>
    <n v="235000"/>
    <m/>
    <s v="TEGAR PUTRA YANSA SALES"/>
    <m/>
    <s v="N/A"/>
  </r>
  <r>
    <m/>
    <x v="13"/>
    <m/>
    <s v="MF-FP.25002"/>
    <m/>
    <s v="MF-ST.21529"/>
    <m/>
    <d v="2026-04-02T00:00:00"/>
    <m/>
    <s v="Member Reguler"/>
    <m/>
    <s v="MJ1470"/>
    <m/>
    <s v="NINGSIHD"/>
    <m/>
    <s v="Achmad Indrawanto"/>
    <m/>
    <s v="SERVICE HANDPHONE"/>
    <m/>
    <x v="2"/>
    <m/>
    <s v="YUVI NOFERIANTO"/>
    <m/>
    <x v="2"/>
    <m/>
    <s v="WAHYU PRATAMA"/>
    <m/>
    <s v="MATI TOTAL"/>
    <m/>
    <s v="XIAOMI"/>
    <m/>
    <s v="POCO X5"/>
    <m/>
    <s v="AKOR-014"/>
    <m/>
    <s v="ORAIMO CABLE TYPE-C 2A OCD-114C"/>
    <m/>
    <n v="15000"/>
    <m/>
    <n v="1"/>
    <m/>
    <n v="15000"/>
    <m/>
    <n v="15000"/>
    <m/>
    <s v="TEGAR PUTRA YANSA SALES"/>
    <m/>
    <s v="N/A"/>
  </r>
  <r>
    <m/>
    <x v="13"/>
    <m/>
    <s v="MF-FP.25003"/>
    <m/>
    <s v="MF-ST.22500"/>
    <m/>
    <d v="2026-05-07T00:00:00"/>
    <m/>
    <s v="Member Reguler"/>
    <m/>
    <s v="C.03085"/>
    <m/>
    <s v="BU ENDAH"/>
    <m/>
    <s v="N/A"/>
    <m/>
    <s v="N/A"/>
    <m/>
    <x v="1"/>
    <m/>
    <s v="N/A"/>
    <m/>
    <x v="5"/>
    <m/>
    <s v="N/A"/>
    <m/>
    <s v="BATERAI"/>
    <m/>
    <s v="HP"/>
    <m/>
    <s v="X360"/>
    <m/>
    <s v="106564"/>
    <m/>
    <s v="BATER LPT HP KN02XL"/>
    <m/>
    <n v="340500"/>
    <m/>
    <n v="1"/>
    <m/>
    <n v="340500"/>
    <m/>
    <n v="340500"/>
    <m/>
    <s v="ANWAR RHAMDANI SALES"/>
    <m/>
    <s v="N/A"/>
  </r>
  <r>
    <m/>
    <x v="13"/>
    <m/>
    <s v="MF-FP.25007"/>
    <m/>
    <s v="MF-ST.22432"/>
    <m/>
    <d v="2026-05-04T00:00:00"/>
    <m/>
    <s v="Member Reguler"/>
    <m/>
    <s v="C.06600"/>
    <m/>
    <s v="FAHRI"/>
    <m/>
    <s v="Achmad Indrawanto"/>
    <m/>
    <s v="SERVICE HANDPHONE"/>
    <m/>
    <x v="0"/>
    <m/>
    <s v="MUSTOFA"/>
    <m/>
    <x v="1"/>
    <m/>
    <s v="WAHYU PRATAMA"/>
    <m/>
    <s v="LCD"/>
    <m/>
    <s v="XIAOMI"/>
    <m/>
    <s v="REDMI NOTE 11 PRO 5G"/>
    <m/>
    <s v="JASA71"/>
    <m/>
    <s v="JASA REPAIR"/>
    <m/>
    <n v="0"/>
    <m/>
    <n v="1"/>
    <m/>
    <n v="255000"/>
    <m/>
    <n v="255000"/>
    <m/>
    <s v="Achmad Indrawanto"/>
    <m/>
    <s v="N/A"/>
  </r>
  <r>
    <m/>
    <x v="13"/>
    <m/>
    <s v="MF-FP.25007"/>
    <m/>
    <s v="MF-ST.22432"/>
    <m/>
    <d v="2026-05-04T00:00:00"/>
    <m/>
    <s v="Member Reguler"/>
    <m/>
    <s v="C.06600"/>
    <m/>
    <s v="FAHRI"/>
    <m/>
    <s v="Achmad Indrawanto"/>
    <m/>
    <s v="SERVICE HANDPHONE"/>
    <m/>
    <x v="1"/>
    <m/>
    <s v="MUSTOFA"/>
    <m/>
    <x v="1"/>
    <m/>
    <s v="WAHYU PRATAMA"/>
    <m/>
    <s v="LCD"/>
    <m/>
    <s v="XIAOMI"/>
    <m/>
    <s v="REDMI NOTE 11 PRO 5G"/>
    <m/>
    <s v="100190"/>
    <m/>
    <s v="LCD.. XIO REDMI NOTE 10 PRO 4G/NOTE 11 PRO 4G/5G/POCO X4 PRO 5G/NOTE 12 PRO 4G B"/>
    <m/>
    <n v="171041.77777700001"/>
    <m/>
    <n v="1"/>
    <m/>
    <n v="235000"/>
    <m/>
    <n v="235000"/>
    <m/>
    <s v="Achmad Indrawanto"/>
    <m/>
    <s v="N/A"/>
  </r>
  <r>
    <m/>
    <x v="13"/>
    <m/>
    <s v="MF-FP.25007"/>
    <m/>
    <s v="MF-ST.22432"/>
    <m/>
    <d v="2026-05-04T00:00:00"/>
    <m/>
    <s v="Member Reguler"/>
    <m/>
    <s v="C.06600"/>
    <m/>
    <s v="FAHRI"/>
    <m/>
    <s v="Achmad Indrawanto"/>
    <m/>
    <s v="SERVICE HANDPHONE"/>
    <m/>
    <x v="2"/>
    <m/>
    <s v="MUSTOFA"/>
    <m/>
    <x v="1"/>
    <m/>
    <s v="WAHYU PRATAMA"/>
    <m/>
    <s v="LCD"/>
    <m/>
    <s v="XIAOMI"/>
    <m/>
    <s v="REDMI NOTE 11 PRO 5G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13"/>
    <m/>
    <s v="MF-FP.24996"/>
    <m/>
    <s v="MF-ST.22496"/>
    <m/>
    <d v="2026-05-07T00:00:00"/>
    <m/>
    <s v="Member Reguler"/>
    <m/>
    <s v="C.12140"/>
    <m/>
    <s v="SYIHAB"/>
    <m/>
    <s v="WAHYU PRATAMA"/>
    <m/>
    <s v="SERVICE HANDPHONE"/>
    <m/>
    <x v="0"/>
    <m/>
    <s v="YUVI NOFERIANTO"/>
    <m/>
    <x v="4"/>
    <m/>
    <s v="WAHYU PRATAMA"/>
    <m/>
    <s v="LCD"/>
    <m/>
    <s v="OPPO"/>
    <m/>
    <s v="A58"/>
    <m/>
    <s v="JASA71"/>
    <m/>
    <s v="JASA REPAIR"/>
    <m/>
    <n v="0"/>
    <m/>
    <n v="1"/>
    <m/>
    <n v="200000"/>
    <m/>
    <n v="200000"/>
    <m/>
    <s v="Achmad Indrawanto"/>
    <m/>
    <s v="N/A"/>
  </r>
  <r>
    <m/>
    <x v="13"/>
    <m/>
    <s v="MF-FP.24996"/>
    <m/>
    <s v="MF-ST.22496"/>
    <m/>
    <d v="2026-05-07T00:00:00"/>
    <m/>
    <s v="Member Reguler"/>
    <m/>
    <s v="C.12140"/>
    <m/>
    <s v="SYIHAB"/>
    <m/>
    <s v="WAHYU PRATAMA"/>
    <m/>
    <s v="SERVICE HANDPHONE"/>
    <m/>
    <x v="1"/>
    <m/>
    <s v="YUVI NOFERIANTO"/>
    <m/>
    <x v="4"/>
    <m/>
    <s v="WAHYU PRATAMA"/>
    <m/>
    <s v="LCD"/>
    <m/>
    <s v="OPPO"/>
    <m/>
    <s v="A58"/>
    <m/>
    <s v="102918"/>
    <m/>
    <s v="LCD.. RLM C55 / RLM 11 5G / OPP A58 4G / OPP A79 5G / OPP A98 B"/>
    <m/>
    <n v="131741.016451"/>
    <m/>
    <n v="1"/>
    <m/>
    <n v="185000"/>
    <m/>
    <n v="185000"/>
    <m/>
    <s v="Achmad Indrawanto"/>
    <m/>
    <s v="N/A"/>
  </r>
  <r>
    <m/>
    <x v="13"/>
    <m/>
    <s v="MF-FP.24996"/>
    <m/>
    <s v="MF-ST.22496"/>
    <m/>
    <d v="2026-05-07T00:00:00"/>
    <m/>
    <s v="Member Reguler"/>
    <m/>
    <s v="C.12140"/>
    <m/>
    <s v="SYIHAB"/>
    <m/>
    <s v="WAHYU PRATAMA"/>
    <m/>
    <s v="SERVICE HANDPHONE"/>
    <m/>
    <x v="2"/>
    <m/>
    <s v="YUVI NOFERIANTO"/>
    <m/>
    <x v="4"/>
    <m/>
    <s v="WAHYU PRATAMA"/>
    <m/>
    <s v="LCD"/>
    <m/>
    <s v="OPPO"/>
    <m/>
    <s v="A58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13"/>
    <m/>
    <s v="MF-FP.24997"/>
    <m/>
    <s v="MF-ST.22474"/>
    <m/>
    <d v="2026-05-06T00:00:00"/>
    <m/>
    <s v="Umum"/>
    <m/>
    <s v="C.10246"/>
    <m/>
    <s v="SUTISNA"/>
    <m/>
    <s v="WAHYU PRATAMA"/>
    <m/>
    <s v="SERVICE HANDPHONE"/>
    <m/>
    <x v="0"/>
    <m/>
    <s v="YUVI NOFERIANTO"/>
    <m/>
    <x v="4"/>
    <m/>
    <s v="WAHYU PRATAMA"/>
    <m/>
    <s v="LCD"/>
    <m/>
    <s v="OPPO"/>
    <m/>
    <s v="Oppo a78 5g"/>
    <m/>
    <s v="JASA71"/>
    <m/>
    <s v="JASA REPAIR"/>
    <m/>
    <n v="0"/>
    <m/>
    <n v="1"/>
    <m/>
    <n v="250000"/>
    <m/>
    <n v="250000"/>
    <m/>
    <m/>
    <m/>
    <s v="N/A"/>
  </r>
  <r>
    <m/>
    <x v="13"/>
    <m/>
    <s v="MF-FP.24997"/>
    <m/>
    <s v="MF-ST.22474"/>
    <m/>
    <d v="2026-05-06T00:00:00"/>
    <m/>
    <s v="Umum"/>
    <m/>
    <s v="C.10246"/>
    <m/>
    <s v="SUTISNA"/>
    <m/>
    <s v="WAHYU PRATAMA"/>
    <m/>
    <s v="SERVICE HANDPHONE"/>
    <m/>
    <x v="1"/>
    <m/>
    <s v="YUVI NOFERIANTO"/>
    <m/>
    <x v="4"/>
    <m/>
    <s v="WAHYU PRATAMA"/>
    <m/>
    <s v="LCD"/>
    <m/>
    <s v="OPPO"/>
    <m/>
    <s v="Oppo a78 5g"/>
    <m/>
    <s v="101036"/>
    <m/>
    <s v="LCD.. OPP A57/A77/A77S/A78/A17/A17K/A18/A38K10 B"/>
    <m/>
    <n v="142972.23611100001"/>
    <m/>
    <n v="1"/>
    <m/>
    <n v="185000"/>
    <m/>
    <n v="185000"/>
    <m/>
    <m/>
    <m/>
    <s v="N/A"/>
  </r>
  <r>
    <m/>
    <x v="13"/>
    <m/>
    <s v="MF-FP.25000"/>
    <m/>
    <s v="MF-ST.22335"/>
    <m/>
    <d v="2026-05-01T00:00:00"/>
    <m/>
    <s v="Umum"/>
    <m/>
    <s v="C.13145"/>
    <m/>
    <s v="ZEO"/>
    <m/>
    <s v="WAHYU PRATAMA"/>
    <m/>
    <s v="SERVICE HANDPHONE"/>
    <m/>
    <x v="0"/>
    <m/>
    <s v="YUVI NOFERIANTO"/>
    <m/>
    <x v="4"/>
    <m/>
    <s v="WAHYU PRATAMA"/>
    <m/>
    <s v="BATERAI"/>
    <m/>
    <s v="SAMSUNG"/>
    <m/>
    <s v="NOTE 9"/>
    <m/>
    <s v="JASA71"/>
    <m/>
    <s v="JASA REPAIR"/>
    <m/>
    <n v="0"/>
    <m/>
    <n v="1"/>
    <m/>
    <n v="204975"/>
    <m/>
    <n v="204975"/>
    <m/>
    <m/>
    <m/>
    <s v="N/A"/>
  </r>
  <r>
    <m/>
    <x v="13"/>
    <m/>
    <s v="MF-FP.25000"/>
    <m/>
    <s v="MF-ST.22335"/>
    <m/>
    <d v="2026-05-01T00:00:00"/>
    <m/>
    <s v="Umum"/>
    <m/>
    <s v="C.13145"/>
    <m/>
    <s v="ZEO"/>
    <m/>
    <s v="WAHYU PRATAMA"/>
    <m/>
    <s v="SERVICE HANDPHONE"/>
    <m/>
    <x v="1"/>
    <m/>
    <s v="YUVI NOFERIANTO"/>
    <m/>
    <x v="4"/>
    <m/>
    <s v="WAHYU PRATAMA"/>
    <m/>
    <s v="BATERAI"/>
    <m/>
    <s v="SAMSUNG"/>
    <m/>
    <s v="NOTE 9"/>
    <m/>
    <s v="102047"/>
    <m/>
    <s v="FLCRG SAM NOTE 9 N690"/>
    <m/>
    <n v="44190.476191000002"/>
    <m/>
    <n v="1"/>
    <m/>
    <n v="85000"/>
    <m/>
    <n v="85000"/>
    <m/>
    <m/>
    <m/>
    <s v="N/A"/>
  </r>
  <r>
    <m/>
    <x v="13"/>
    <m/>
    <s v="MF-FP.25000"/>
    <m/>
    <s v="MF-ST.22335"/>
    <m/>
    <d v="2026-05-01T00:00:00"/>
    <m/>
    <s v="Umum"/>
    <m/>
    <s v="C.13145"/>
    <m/>
    <s v="ZEO"/>
    <m/>
    <s v="WAHYU PRATAMA"/>
    <m/>
    <s v="SERVICE HANDPHONE"/>
    <m/>
    <x v="2"/>
    <m/>
    <s v="YUVI NOFERIANTO"/>
    <m/>
    <x v="4"/>
    <m/>
    <s v="WAHYU PRATAMA"/>
    <m/>
    <s v="BATERAI"/>
    <m/>
    <s v="SAMSUNG"/>
    <m/>
    <s v="NOTE 9"/>
    <m/>
    <s v="AKOR-014"/>
    <m/>
    <s v="ORAIMO CABLE TYPE-C 2A OCD-114C"/>
    <m/>
    <n v="15000"/>
    <m/>
    <n v="1"/>
    <m/>
    <n v="15000"/>
    <m/>
    <n v="15000"/>
    <m/>
    <m/>
    <m/>
    <s v="N/A"/>
  </r>
  <r>
    <m/>
    <x v="13"/>
    <m/>
    <s v="MF-FP.25006"/>
    <m/>
    <s v="MF-ST.22501"/>
    <m/>
    <d v="2026-05-07T00:00:00"/>
    <m/>
    <s v="Umum"/>
    <m/>
    <s v="C.12108"/>
    <m/>
    <s v="SUKO"/>
    <m/>
    <s v="WAHYU PRATAMA"/>
    <m/>
    <s v="PENJUALAN AKSESORIS"/>
    <m/>
    <x v="4"/>
    <m/>
    <s v="N/A"/>
    <m/>
    <x v="5"/>
    <m/>
    <s v="WAHYU PRATAMA"/>
    <m/>
    <s v="REPAIR"/>
    <m/>
    <s v="SAMSUNG"/>
    <m/>
    <s v="REPA"/>
    <m/>
    <s v="PFUM-009"/>
    <m/>
    <s v="UMAIR ADN 30ML"/>
    <m/>
    <n v="160000"/>
    <m/>
    <n v="1"/>
    <m/>
    <n v="200000"/>
    <m/>
    <n v="200000"/>
    <m/>
    <m/>
    <m/>
    <s v="N/A"/>
  </r>
  <r>
    <m/>
    <x v="13"/>
    <m/>
    <s v="MF-FP.25009"/>
    <m/>
    <s v="MF-ST.22480"/>
    <m/>
    <d v="2026-05-06T00:00:00"/>
    <m/>
    <s v="Umum"/>
    <m/>
    <s v="C.13208"/>
    <m/>
    <s v="AMALIA"/>
    <m/>
    <s v="WAHYU PRATAMA"/>
    <m/>
    <s v="SERVICE LAPTOP"/>
    <m/>
    <x v="0"/>
    <m/>
    <s v="ARIFIN SANTOSO JATIMULYA"/>
    <m/>
    <x v="6"/>
    <m/>
    <s v="WAHYU PRATAMA"/>
    <m/>
    <s v="BATERAI"/>
    <m/>
    <s v="ASUS"/>
    <m/>
    <s v="Asus e410m"/>
    <m/>
    <s v="JASA71"/>
    <m/>
    <s v="JASA REPAIR"/>
    <m/>
    <n v="0"/>
    <m/>
    <n v="1"/>
    <m/>
    <n v="400000"/>
    <m/>
    <n v="400000"/>
    <m/>
    <m/>
    <m/>
    <s v="N/A"/>
  </r>
  <r>
    <m/>
    <x v="13"/>
    <m/>
    <s v="MF-FP.25009"/>
    <m/>
    <s v="MF-ST.22480"/>
    <m/>
    <d v="2026-05-06T00:00:00"/>
    <m/>
    <s v="Umum"/>
    <m/>
    <s v="C.13208"/>
    <m/>
    <s v="AMALIA"/>
    <m/>
    <s v="WAHYU PRATAMA"/>
    <m/>
    <s v="SERVICE LAPTOP"/>
    <m/>
    <x v="1"/>
    <m/>
    <s v="ARIFIN SANTOSO JATIMULYA"/>
    <m/>
    <x v="6"/>
    <m/>
    <s v="WAHYU PRATAMA"/>
    <m/>
    <s v="BATERAI"/>
    <m/>
    <s v="ASUS"/>
    <m/>
    <s v="Asus e410m"/>
    <m/>
    <s v="102685"/>
    <m/>
    <s v="BATER LPT ASS E410 E410M E410K L410M E510 L510 C31N1912"/>
    <m/>
    <n v="200000"/>
    <m/>
    <n v="1"/>
    <m/>
    <n v="235000"/>
    <m/>
    <n v="235000"/>
    <m/>
    <m/>
    <m/>
    <s v="N/A"/>
  </r>
  <r>
    <m/>
    <x v="13"/>
    <m/>
    <s v="MF-FP.25009"/>
    <m/>
    <s v="MF-ST.22480"/>
    <m/>
    <d v="2026-05-06T00:00:00"/>
    <m/>
    <s v="Umum"/>
    <m/>
    <s v="C.13208"/>
    <m/>
    <s v="AMALIA"/>
    <m/>
    <s v="WAHYU PRATAMA"/>
    <m/>
    <s v="SERVICE LAPTOP"/>
    <m/>
    <x v="2"/>
    <m/>
    <s v="ARIFIN SANTOSO JATIMULYA"/>
    <m/>
    <x v="6"/>
    <m/>
    <s v="WAHYU PRATAMA"/>
    <m/>
    <s v="BATERAI"/>
    <m/>
    <s v="ASUS"/>
    <m/>
    <s v="Asus e410m"/>
    <m/>
    <s v="AKOR-014"/>
    <m/>
    <s v="ORAIMO CABLE TYPE-C 2A OCD-114C"/>
    <m/>
    <n v="15000"/>
    <m/>
    <n v="1"/>
    <m/>
    <n v="15000"/>
    <m/>
    <n v="15000"/>
    <m/>
    <m/>
    <m/>
    <s v="N/A"/>
  </r>
  <r>
    <m/>
    <x v="13"/>
    <m/>
    <s v="MF-FP.25012"/>
    <m/>
    <s v="MF-ST.22503"/>
    <m/>
    <d v="2026-05-07T00:00:00"/>
    <m/>
    <s v="Umum"/>
    <m/>
    <s v="C.07570"/>
    <m/>
    <s v="BANG REZA"/>
    <m/>
    <s v="WAHYU PRATAMA"/>
    <m/>
    <s v="SERVICE HANDPHONE"/>
    <m/>
    <x v="0"/>
    <m/>
    <s v="EKO RISDIYANTORO JATIMULYA"/>
    <m/>
    <x v="2"/>
    <m/>
    <s v="WAHYU PRATAMA"/>
    <m/>
    <s v="REPAIR"/>
    <m/>
    <s v="XIAOMI"/>
    <m/>
    <s v="NOTE 10"/>
    <m/>
    <s v="JASA71"/>
    <m/>
    <s v="JASA REPAIR"/>
    <m/>
    <n v="0"/>
    <m/>
    <n v="1"/>
    <m/>
    <n v="135000"/>
    <m/>
    <n v="135000"/>
    <m/>
    <m/>
    <m/>
    <s v="N/A"/>
  </r>
  <r>
    <m/>
    <x v="13"/>
    <m/>
    <s v="MF-FP.25012"/>
    <m/>
    <s v="MF-ST.22503"/>
    <m/>
    <d v="2026-05-07T00:00:00"/>
    <m/>
    <s v="Umum"/>
    <m/>
    <s v="C.07570"/>
    <m/>
    <s v="BANG REZA"/>
    <m/>
    <s v="WAHYU PRATAMA"/>
    <m/>
    <s v="SERVICE HANDPHONE"/>
    <m/>
    <x v="2"/>
    <m/>
    <s v="EKO RISDIYANTORO JATIMULYA"/>
    <m/>
    <x v="2"/>
    <m/>
    <s v="WAHYU PRATAMA"/>
    <m/>
    <s v="REPAIR"/>
    <m/>
    <s v="XIAOMI"/>
    <m/>
    <s v="NOTE 10"/>
    <m/>
    <s v="AKOR-014"/>
    <m/>
    <s v="ORAIMO CABLE TYPE-C 2A OCD-114C"/>
    <m/>
    <n v="15000"/>
    <m/>
    <n v="1"/>
    <m/>
    <n v="15000"/>
    <m/>
    <n v="15000"/>
    <m/>
    <m/>
    <m/>
    <s v="N/A"/>
  </r>
  <r>
    <m/>
    <x v="13"/>
    <m/>
    <s v="MF-FP.25004"/>
    <m/>
    <s v="MF-ST.22438"/>
    <m/>
    <d v="2026-05-04T00:00:00"/>
    <m/>
    <s v="Umum"/>
    <m/>
    <s v="C.12108"/>
    <m/>
    <s v="SUKO"/>
    <m/>
    <s v="HANIF"/>
    <m/>
    <s v="SERVICE HANDPHONE"/>
    <m/>
    <x v="0"/>
    <m/>
    <s v="EKO RISDIYANTORO JATIMULYA"/>
    <m/>
    <x v="2"/>
    <m/>
    <s v="WAHYU PRATAMA"/>
    <m/>
    <s v="BATERAI"/>
    <m/>
    <s v="SAMSUNG"/>
    <m/>
    <s v="note 8"/>
    <m/>
    <s v="JASA71"/>
    <m/>
    <s v="JASA REPAIR"/>
    <m/>
    <n v="0"/>
    <m/>
    <n v="1"/>
    <m/>
    <n v="400000"/>
    <m/>
    <n v="400000"/>
    <m/>
    <m/>
    <m/>
    <s v="N/A"/>
  </r>
  <r>
    <m/>
    <x v="13"/>
    <m/>
    <s v="MF-FP.25004"/>
    <m/>
    <s v="MF-ST.22438"/>
    <m/>
    <d v="2026-05-04T00:00:00"/>
    <m/>
    <s v="Umum"/>
    <m/>
    <s v="C.12108"/>
    <m/>
    <s v="SUKO"/>
    <m/>
    <s v="HANIF"/>
    <m/>
    <s v="SERVICE HANDPHONE"/>
    <m/>
    <x v="1"/>
    <m/>
    <s v="EKO RISDIYANTORO JATIMULYA"/>
    <m/>
    <x v="2"/>
    <m/>
    <s v="WAHYU PRATAMA"/>
    <m/>
    <s v="BATERAI"/>
    <m/>
    <s v="SAMSUNG"/>
    <m/>
    <s v="note 8"/>
    <m/>
    <s v="105219"/>
    <m/>
    <s v="BATER SAM NOTE 8 N950F EB-BN950ABE"/>
    <m/>
    <n v="93000"/>
    <m/>
    <n v="1"/>
    <m/>
    <n v="150000"/>
    <m/>
    <n v="150000"/>
    <m/>
    <m/>
    <m/>
    <s v="N/A"/>
  </r>
  <r>
    <m/>
    <x v="13"/>
    <m/>
    <s v="MF-FP.25004"/>
    <m/>
    <s v="MF-ST.22438"/>
    <m/>
    <d v="2026-05-04T00:00:00"/>
    <m/>
    <s v="Umum"/>
    <m/>
    <s v="C.12108"/>
    <m/>
    <s v="SUKO"/>
    <m/>
    <s v="HANIF"/>
    <m/>
    <s v="SERVICE HANDPHONE"/>
    <m/>
    <x v="2"/>
    <m/>
    <s v="EKO RISDIYANTORO JATIMULYA"/>
    <m/>
    <x v="2"/>
    <m/>
    <s v="WAHYU PRATAMA"/>
    <m/>
    <s v="BATERAI"/>
    <m/>
    <s v="SAMSUNG"/>
    <m/>
    <s v="note 8"/>
    <m/>
    <s v="AKOR-014"/>
    <m/>
    <s v="ORAIMO CABLE TYPE-C 2A OCD-114C"/>
    <m/>
    <n v="15000"/>
    <m/>
    <n v="1"/>
    <m/>
    <n v="15000"/>
    <m/>
    <n v="15000"/>
    <m/>
    <m/>
    <m/>
    <s v="N/A"/>
  </r>
  <r>
    <m/>
    <x v="13"/>
    <m/>
    <s v="MF-FP.25004"/>
    <m/>
    <s v="MF-ST.22438"/>
    <m/>
    <d v="2026-05-04T00:00:00"/>
    <m/>
    <s v="Umum"/>
    <m/>
    <s v="C.12108"/>
    <m/>
    <s v="SUKO"/>
    <m/>
    <s v="HANIF"/>
    <m/>
    <s v="SERVICE HANDPHONE"/>
    <m/>
    <x v="1"/>
    <m/>
    <s v="EKO RISDIYANTORO JATIMULYA"/>
    <m/>
    <x v="2"/>
    <m/>
    <s v="WAHYU PRATAMA"/>
    <m/>
    <s v="BATERAI"/>
    <m/>
    <s v="SAMSUNG"/>
    <m/>
    <s v="note 8"/>
    <m/>
    <s v="103717"/>
    <m/>
    <s v="PERNIK TBL O/F + VLM SAM NOTE 8"/>
    <m/>
    <n v="30000"/>
    <m/>
    <n v="1"/>
    <m/>
    <n v="35000"/>
    <m/>
    <n v="35000"/>
    <m/>
    <m/>
    <m/>
    <s v="N/A"/>
  </r>
  <r>
    <m/>
    <x v="13"/>
    <m/>
    <s v="MF-FP.25007"/>
    <m/>
    <s v="MF-ST.22432"/>
    <m/>
    <d v="2026-05-04T00:00:00"/>
    <m/>
    <s v="Member Reguler"/>
    <m/>
    <s v="C.06600"/>
    <m/>
    <s v="FAHRI"/>
    <m/>
    <s v="Achmad Indrawanto"/>
    <m/>
    <s v="SERVICE HANDPHONE"/>
    <m/>
    <x v="1"/>
    <m/>
    <s v="MUSTOFA"/>
    <m/>
    <x v="1"/>
    <m/>
    <s v="WAHYU PRATAMA"/>
    <m/>
    <s v="LCD"/>
    <m/>
    <s v="XIAOMI"/>
    <m/>
    <s v="REDMI NOTE 11 PRO 5G"/>
    <m/>
    <s v="107251"/>
    <m/>
    <s v="BCKDR XIO REDMI NOTE 11 PRO"/>
    <m/>
    <n v="38308.625336999998"/>
    <m/>
    <n v="1"/>
    <m/>
    <n v="50000"/>
    <m/>
    <n v="50000"/>
    <m/>
    <s v="Achmad Indrawanto"/>
    <m/>
    <s v="N/A"/>
  </r>
  <r>
    <m/>
    <x v="13"/>
    <m/>
    <s v="MF-FP.25010"/>
    <m/>
    <s v="MF-ST.22362"/>
    <m/>
    <d v="2026-05-02T00:00:00"/>
    <m/>
    <s v="Member Reguler"/>
    <m/>
    <s v="MJ0405"/>
    <m/>
    <s v="Abdul Halim"/>
    <m/>
    <s v="WAHYU PRATAMA"/>
    <m/>
    <s v="SERVICE HANDPHONE"/>
    <m/>
    <x v="0"/>
    <m/>
    <s v="EKO RISDIYANTORO JATIMULYA"/>
    <m/>
    <x v="2"/>
    <m/>
    <s v="WAHYU PRATAMA"/>
    <m/>
    <s v="MATI TOTAL"/>
    <m/>
    <s v="REALME"/>
    <m/>
    <s v="C11"/>
    <m/>
    <s v="JASA71"/>
    <m/>
    <s v="JASA REPAIR"/>
    <m/>
    <n v="0"/>
    <m/>
    <n v="1"/>
    <m/>
    <n v="200000"/>
    <m/>
    <n v="200000"/>
    <m/>
    <s v="TEGAR PUTRA YANSA SALES"/>
    <m/>
    <s v="N/A"/>
  </r>
  <r>
    <m/>
    <x v="13"/>
    <m/>
    <s v="MF-FP.25010"/>
    <m/>
    <s v="MF-ST.22362"/>
    <m/>
    <d v="2026-05-02T00:00:00"/>
    <m/>
    <s v="Member Reguler"/>
    <m/>
    <s v="MJ0405"/>
    <m/>
    <s v="Abdul Halim"/>
    <m/>
    <s v="WAHYU PRATAMA"/>
    <m/>
    <s v="SERVICE HANDPHONE"/>
    <m/>
    <x v="1"/>
    <m/>
    <s v="EKO RISDIYANTORO JATIMULYA"/>
    <m/>
    <x v="2"/>
    <m/>
    <s v="WAHYU PRATAMA"/>
    <m/>
    <s v="MATI TOTAL"/>
    <m/>
    <s v="REALME"/>
    <m/>
    <s v="C11"/>
    <m/>
    <s v="105423"/>
    <m/>
    <s v="MESIN RLM C11"/>
    <m/>
    <n v="370910"/>
    <m/>
    <n v="1"/>
    <m/>
    <n v="435000"/>
    <m/>
    <n v="435000"/>
    <m/>
    <s v="TEGAR PUTRA YANSA SALES"/>
    <m/>
    <s v="N/A"/>
  </r>
  <r>
    <m/>
    <x v="13"/>
    <m/>
    <s v="MF-FP.25005"/>
    <m/>
    <s v="MF-ST.22439"/>
    <m/>
    <d v="2026-05-04T00:00:00"/>
    <m/>
    <s v="Umum"/>
    <m/>
    <s v="C.12108"/>
    <m/>
    <s v="SUKO"/>
    <m/>
    <s v="HANIF"/>
    <m/>
    <s v="SERVICE HANDPHONE"/>
    <m/>
    <x v="0"/>
    <m/>
    <s v="EKO RISDIYANTORO JATIMULYA"/>
    <m/>
    <x v="2"/>
    <m/>
    <s v="WAHYU PRATAMA"/>
    <m/>
    <s v="BATERAI"/>
    <m/>
    <s v="VIVO"/>
    <m/>
    <s v="vivo v29"/>
    <m/>
    <s v="JASA71"/>
    <m/>
    <s v="JASA REPAIR"/>
    <m/>
    <n v="0"/>
    <m/>
    <n v="1"/>
    <m/>
    <n v="860000"/>
    <m/>
    <n v="860000"/>
    <m/>
    <m/>
    <m/>
    <s v="N/A"/>
  </r>
  <r>
    <m/>
    <x v="13"/>
    <m/>
    <s v="MF-FP.25005"/>
    <m/>
    <s v="MF-ST.22439"/>
    <m/>
    <d v="2026-05-04T00:00:00"/>
    <m/>
    <s v="Umum"/>
    <m/>
    <s v="C.12108"/>
    <m/>
    <s v="SUKO"/>
    <m/>
    <s v="HANIF"/>
    <m/>
    <s v="SERVICE HANDPHONE"/>
    <m/>
    <x v="1"/>
    <m/>
    <s v="EKO RISDIYANTORO JATIMULYA"/>
    <m/>
    <x v="2"/>
    <m/>
    <s v="WAHYU PRATAMA"/>
    <m/>
    <s v="BATERAI"/>
    <m/>
    <s v="VIVO"/>
    <m/>
    <s v="vivo v29"/>
    <m/>
    <s v="107249"/>
    <m/>
    <s v="LCD.. VIV V29 5G / V29 PRO OLED"/>
    <m/>
    <n v="740633.42318100005"/>
    <m/>
    <n v="1"/>
    <m/>
    <n v="900000"/>
    <m/>
    <n v="900000"/>
    <m/>
    <m/>
    <m/>
    <s v="N/A"/>
  </r>
  <r>
    <m/>
    <x v="13"/>
    <m/>
    <s v="MF-FP.25005"/>
    <m/>
    <s v="MF-ST.22439"/>
    <m/>
    <d v="2026-05-04T00:00:00"/>
    <m/>
    <s v="Umum"/>
    <m/>
    <s v="C.12108"/>
    <m/>
    <s v="SUKO"/>
    <m/>
    <s v="HANIF"/>
    <m/>
    <s v="SERVICE HANDPHONE"/>
    <m/>
    <x v="1"/>
    <m/>
    <s v="EKO RISDIYANTORO JATIMULYA"/>
    <m/>
    <x v="2"/>
    <m/>
    <s v="WAHYU PRATAMA"/>
    <m/>
    <s v="BATERAI"/>
    <m/>
    <s v="VIVO"/>
    <m/>
    <s v="vivo v29"/>
    <m/>
    <s v="107250"/>
    <m/>
    <s v="BCKDR VIV V29 5G"/>
    <m/>
    <n v="61293.800539000003"/>
    <m/>
    <n v="1"/>
    <m/>
    <n v="50000"/>
    <m/>
    <n v="50000"/>
    <m/>
    <m/>
    <m/>
    <s v="N/A"/>
  </r>
  <r>
    <m/>
    <x v="13"/>
    <m/>
    <s v="MF-FP.25005"/>
    <m/>
    <s v="MF-ST.22439"/>
    <m/>
    <d v="2026-05-04T00:00:00"/>
    <m/>
    <s v="Umum"/>
    <m/>
    <s v="C.12108"/>
    <m/>
    <s v="SUKO"/>
    <m/>
    <s v="HANIF"/>
    <m/>
    <s v="SERVICE HANDPHONE"/>
    <m/>
    <x v="2"/>
    <m/>
    <s v="EKO RISDIYANTORO JATIMULYA"/>
    <m/>
    <x v="2"/>
    <m/>
    <s v="WAHYU PRATAMA"/>
    <m/>
    <s v="BATERAI"/>
    <m/>
    <s v="VIVO"/>
    <m/>
    <s v="vivo v29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13"/>
    <m/>
    <s v="MF-FP.25005"/>
    <m/>
    <s v="MF-ST.22439"/>
    <m/>
    <d v="2026-05-04T00:00:00"/>
    <m/>
    <s v="Umum"/>
    <m/>
    <s v="C.12108"/>
    <m/>
    <s v="SUKO"/>
    <m/>
    <s v="HANIF"/>
    <m/>
    <s v="SERVICE HANDPHONE"/>
    <m/>
    <x v="2"/>
    <m/>
    <s v="EKO RISDIYANTORO JATIMULYA"/>
    <m/>
    <x v="2"/>
    <m/>
    <s v="WAHYU PRATAMA"/>
    <m/>
    <s v="BATERAI"/>
    <m/>
    <s v="VIVO"/>
    <m/>
    <s v="vivo v29"/>
    <m/>
    <s v="AKOR-014"/>
    <m/>
    <s v="ORAIMO CABLE TYPE-C 2A OCD-114C"/>
    <m/>
    <n v="15000"/>
    <m/>
    <n v="1"/>
    <m/>
    <n v="15000"/>
    <m/>
    <n v="15000"/>
    <m/>
    <m/>
    <m/>
    <s v="N/A"/>
  </r>
  <r>
    <m/>
    <x v="13"/>
    <m/>
    <s v="MF-FP.25008"/>
    <m/>
    <s v="MF-ST.22502"/>
    <m/>
    <d v="2026-05-07T00:00:00"/>
    <m/>
    <s v="Umum"/>
    <m/>
    <s v="C.13218"/>
    <m/>
    <s v="WIJI"/>
    <m/>
    <s v="WAHYU PRATAMA"/>
    <m/>
    <s v="SERVICE HANDPHONE"/>
    <m/>
    <x v="0"/>
    <m/>
    <s v="YUVI NOFERIANTO"/>
    <m/>
    <x v="4"/>
    <m/>
    <s v="WAHYU PRATAMA"/>
    <m/>
    <s v="LCD"/>
    <m/>
    <s v="INFINIX"/>
    <m/>
    <s v="HOT 30"/>
    <m/>
    <s v="JASA71"/>
    <m/>
    <s v="JASA REPAIR"/>
    <m/>
    <n v="0"/>
    <m/>
    <n v="1"/>
    <m/>
    <n v="250000"/>
    <m/>
    <n v="250000"/>
    <m/>
    <m/>
    <m/>
    <s v="N/A"/>
  </r>
  <r>
    <m/>
    <x v="13"/>
    <m/>
    <s v="MF-FP.25008"/>
    <m/>
    <s v="MF-ST.22502"/>
    <m/>
    <d v="2026-05-07T00:00:00"/>
    <m/>
    <s v="Umum"/>
    <m/>
    <s v="C.13218"/>
    <m/>
    <s v="WIJI"/>
    <m/>
    <s v="WAHYU PRATAMA"/>
    <m/>
    <s v="SERVICE HANDPHONE"/>
    <m/>
    <x v="1"/>
    <m/>
    <s v="YUVI NOFERIANTO"/>
    <m/>
    <x v="4"/>
    <m/>
    <s v="WAHYU PRATAMA"/>
    <m/>
    <s v="LCD"/>
    <m/>
    <s v="INFINIX"/>
    <m/>
    <s v="HOT 30"/>
    <m/>
    <s v="104221"/>
    <m/>
    <s v="LCD.. INF HOT 30 / HOT 40 / NOTE 30 / HOT 40 PRO X6831 B"/>
    <m/>
    <n v="140815.675628"/>
    <m/>
    <n v="1"/>
    <m/>
    <n v="185000"/>
    <m/>
    <n v="185000"/>
    <m/>
    <m/>
    <m/>
    <s v="N/A"/>
  </r>
  <r>
    <m/>
    <x v="13"/>
    <m/>
    <s v="MF-FP.25008"/>
    <m/>
    <s v="MF-ST.22502"/>
    <m/>
    <d v="2026-05-07T00:00:00"/>
    <m/>
    <s v="Umum"/>
    <m/>
    <s v="C.13218"/>
    <m/>
    <s v="WIJI"/>
    <m/>
    <s v="WAHYU PRATAMA"/>
    <m/>
    <s v="SERVICE HANDPHONE"/>
    <m/>
    <x v="2"/>
    <m/>
    <s v="YUVI NOFERIANTO"/>
    <m/>
    <x v="4"/>
    <m/>
    <s v="WAHYU PRATAMA"/>
    <m/>
    <s v="LCD"/>
    <m/>
    <s v="INFINIX"/>
    <m/>
    <s v="HOT 30"/>
    <m/>
    <s v="AKOR-014"/>
    <m/>
    <s v="ORAIMO CABLE TYPE-C 2A OCD-114C"/>
    <m/>
    <n v="15000"/>
    <m/>
    <n v="1"/>
    <m/>
    <n v="15000"/>
    <m/>
    <n v="15000"/>
    <m/>
    <m/>
    <m/>
    <s v="N/A"/>
  </r>
  <r>
    <m/>
    <x v="13"/>
    <m/>
    <s v="MF-FP.25010"/>
    <m/>
    <s v="MF-ST.22362"/>
    <m/>
    <d v="2026-05-02T00:00:00"/>
    <m/>
    <s v="Member Reguler"/>
    <m/>
    <s v="MJ0405"/>
    <m/>
    <s v="Abdul Halim"/>
    <m/>
    <s v="WAHYU PRATAMA"/>
    <m/>
    <s v="SERVICE HANDPHONE"/>
    <m/>
    <x v="2"/>
    <m/>
    <s v="EKO RISDIYANTORO JATIMULYA"/>
    <m/>
    <x v="2"/>
    <m/>
    <s v="WAHYU PRATAMA"/>
    <m/>
    <s v="MATI TOTAL"/>
    <m/>
    <s v="REALME"/>
    <m/>
    <s v="C11"/>
    <m/>
    <s v="AKOR-014"/>
    <m/>
    <s v="ORAIMO CABLE TYPE-C 2A OCD-114C"/>
    <m/>
    <n v="15000"/>
    <m/>
    <n v="1"/>
    <m/>
    <n v="15000"/>
    <m/>
    <n v="15000"/>
    <m/>
    <s v="TEGAR PUTRA YANSA SALES"/>
    <m/>
    <s v="N/A"/>
  </r>
  <r>
    <m/>
    <x v="13"/>
    <m/>
    <s v="MF-FP.25011"/>
    <m/>
    <s v="MF-ST.22482"/>
    <m/>
    <d v="2026-05-06T00:00:00"/>
    <m/>
    <s v="Member Reguler"/>
    <m/>
    <s v="MJ2562"/>
    <m/>
    <s v="ANNISA CHIKA DEA"/>
    <m/>
    <s v="WAHYU PRATAMA"/>
    <m/>
    <s v="SERVICE HANDPHONE"/>
    <m/>
    <x v="0"/>
    <m/>
    <s v="YUVI NOFERIANTO"/>
    <m/>
    <x v="4"/>
    <m/>
    <s v="WAHYU PRATAMA"/>
    <m/>
    <s v="BATERAI"/>
    <m/>
    <s v="XIAOMI"/>
    <m/>
    <s v="redmi note 9"/>
    <m/>
    <s v="JASA71"/>
    <m/>
    <s v="JASA REPAIR"/>
    <m/>
    <n v="0"/>
    <m/>
    <n v="1"/>
    <m/>
    <n v="150000"/>
    <m/>
    <n v="150000"/>
    <m/>
    <s v="TEGAR PUTRA YANSA SALES"/>
    <m/>
    <s v="N/A"/>
  </r>
  <r>
    <m/>
    <x v="13"/>
    <m/>
    <s v="MF-FP.25011"/>
    <m/>
    <s v="MF-ST.22482"/>
    <m/>
    <d v="2026-05-06T00:00:00"/>
    <m/>
    <s v="Member Reguler"/>
    <m/>
    <s v="MJ2562"/>
    <m/>
    <s v="ANNISA CHIKA DEA"/>
    <m/>
    <s v="WAHYU PRATAMA"/>
    <m/>
    <s v="SERVICE HANDPHONE"/>
    <m/>
    <x v="1"/>
    <m/>
    <s v="YUVI NOFERIANTO"/>
    <m/>
    <x v="4"/>
    <m/>
    <s v="WAHYU PRATAMA"/>
    <m/>
    <s v="BATERAI"/>
    <m/>
    <s v="XIAOMI"/>
    <m/>
    <s v="redmi note 9"/>
    <m/>
    <s v="100261"/>
    <m/>
    <s v="BATER XIO REDMI 9/REDMI NOTE 9 BN54"/>
    <m/>
    <n v="112144.93881599999"/>
    <m/>
    <n v="1"/>
    <m/>
    <n v="135000"/>
    <m/>
    <n v="135000"/>
    <m/>
    <s v="TEGAR PUTRA YANSA SALES"/>
    <m/>
    <s v="N/A"/>
  </r>
  <r>
    <m/>
    <x v="13"/>
    <m/>
    <s v="MF-FP.25011"/>
    <m/>
    <s v="MF-ST.22482"/>
    <m/>
    <d v="2026-05-06T00:00:00"/>
    <m/>
    <s v="Member Reguler"/>
    <m/>
    <s v="MJ2562"/>
    <m/>
    <s v="ANNISA CHIKA DEA"/>
    <m/>
    <s v="WAHYU PRATAMA"/>
    <m/>
    <s v="SERVICE HANDPHONE"/>
    <m/>
    <x v="2"/>
    <m/>
    <s v="YUVI NOFERIANTO"/>
    <m/>
    <x v="4"/>
    <m/>
    <s v="WAHYU PRATAMA"/>
    <m/>
    <s v="BATERAI"/>
    <m/>
    <s v="XIAOMI"/>
    <m/>
    <s v="redmi note 9"/>
    <m/>
    <s v="AKOR-014"/>
    <m/>
    <s v="ORAIMO CABLE TYPE-C 2A OCD-114C"/>
    <m/>
    <n v="15000"/>
    <m/>
    <n v="1"/>
    <m/>
    <n v="15000"/>
    <m/>
    <n v="15000"/>
    <m/>
    <s v="TEGAR PUTRA YANSA SALES"/>
    <m/>
    <s v="N/A"/>
  </r>
  <r>
    <m/>
    <x v="14"/>
    <m/>
    <s v="MF-FP.25028"/>
    <m/>
    <s v="MF-ST.22523"/>
    <m/>
    <d v="2026-05-08T00:00:00"/>
    <m/>
    <s v="Member Reguler"/>
    <m/>
    <s v="C.09793"/>
    <m/>
    <s v="FAKHRI"/>
    <m/>
    <s v="HANIF"/>
    <m/>
    <s v="SERVICE HANDPHONE"/>
    <m/>
    <x v="0"/>
    <m/>
    <s v="EKO RISDIYANTORO JATIMULYA"/>
    <m/>
    <x v="2"/>
    <m/>
    <s v="HANIF"/>
    <m/>
    <s v="BATERAI"/>
    <m/>
    <s v="ASUS"/>
    <m/>
    <s v="asus zenfone max pro m1"/>
    <m/>
    <s v="JASA71"/>
    <m/>
    <s v="JASA REPAIR"/>
    <m/>
    <n v="0"/>
    <m/>
    <n v="1"/>
    <m/>
    <n v="140000"/>
    <m/>
    <n v="140000"/>
    <m/>
    <m/>
    <m/>
    <s v="N/A"/>
  </r>
  <r>
    <m/>
    <x v="14"/>
    <m/>
    <s v="MF-FP.25028"/>
    <m/>
    <s v="MF-ST.22523"/>
    <m/>
    <d v="2026-05-08T00:00:00"/>
    <m/>
    <s v="Member Reguler"/>
    <m/>
    <s v="C.09793"/>
    <m/>
    <s v="FAKHRI"/>
    <m/>
    <s v="HANIF"/>
    <m/>
    <s v="SERVICE HANDPHONE"/>
    <m/>
    <x v="2"/>
    <m/>
    <s v="EKO RISDIYANTORO JATIMULYA"/>
    <m/>
    <x v="2"/>
    <m/>
    <s v="HANIF"/>
    <m/>
    <s v="BATERAI"/>
    <m/>
    <s v="ASUS"/>
    <m/>
    <s v="asus zenfone max pro m1"/>
    <m/>
    <s v="AKOR-014"/>
    <m/>
    <s v="ORAIMO CABLE TYPE-C 2A OCD-114C"/>
    <m/>
    <n v="15000"/>
    <m/>
    <n v="1"/>
    <m/>
    <n v="20000"/>
    <m/>
    <n v="20000"/>
    <m/>
    <m/>
    <m/>
    <s v="N/A"/>
  </r>
  <r>
    <m/>
    <x v="14"/>
    <m/>
    <s v="MF-FP.25028"/>
    <m/>
    <s v="MF-ST.22523"/>
    <m/>
    <d v="2026-05-08T00:00:00"/>
    <m/>
    <s v="Member Reguler"/>
    <m/>
    <s v="C.09793"/>
    <m/>
    <s v="FAKHRI"/>
    <m/>
    <s v="HANIF"/>
    <m/>
    <s v="SERVICE HANDPHONE"/>
    <m/>
    <x v="1"/>
    <m/>
    <s v="EKO RISDIYANTORO JATIMULYA"/>
    <m/>
    <x v="2"/>
    <m/>
    <s v="HANIF"/>
    <m/>
    <s v="BATERAI"/>
    <m/>
    <s v="ASUS"/>
    <m/>
    <s v="asus zenfone max pro m1"/>
    <m/>
    <s v="100137"/>
    <m/>
    <s v="BATER ASS MAX PRO M1/MAX PRO M2 C11P1706"/>
    <m/>
    <n v="110000"/>
    <m/>
    <n v="1"/>
    <m/>
    <n v="140000"/>
    <m/>
    <n v="140000"/>
    <m/>
    <m/>
    <m/>
    <s v="N/A"/>
  </r>
  <r>
    <m/>
    <x v="14"/>
    <m/>
    <s v="MF-FP.25030"/>
    <m/>
    <s v="MF-ST.22525"/>
    <m/>
    <d v="2026-05-08T00:00:00"/>
    <m/>
    <s v="Member Reguler"/>
    <m/>
    <s v="C.12809"/>
    <m/>
    <s v="ALFAN"/>
    <m/>
    <s v="HANIF"/>
    <m/>
    <s v="SERVICE HANDPHONE"/>
    <m/>
    <x v="0"/>
    <m/>
    <s v="ARI MARWAN"/>
    <m/>
    <x v="0"/>
    <m/>
    <s v="HANIF"/>
    <m/>
    <s v="HARDWARE"/>
    <m/>
    <s v="XIAOMI"/>
    <m/>
    <s v="redmi 10"/>
    <m/>
    <s v="JASA71"/>
    <m/>
    <s v="JASA REPAIR"/>
    <m/>
    <n v="0"/>
    <m/>
    <n v="1"/>
    <m/>
    <n v="150000"/>
    <m/>
    <n v="150000"/>
    <m/>
    <s v="ARI MARWAN"/>
    <m/>
    <s v="N/A"/>
  </r>
  <r>
    <m/>
    <x v="14"/>
    <m/>
    <s v="MF-FP.25029"/>
    <m/>
    <s v="MF-ST.22524"/>
    <m/>
    <d v="2026-05-08T00:00:00"/>
    <m/>
    <s v="Member Reguler"/>
    <m/>
    <s v="C.08482"/>
    <m/>
    <s v="SUTARNO"/>
    <m/>
    <s v="HANIF"/>
    <m/>
    <s v="SERVICE HANDPHONE"/>
    <m/>
    <x v="0"/>
    <m/>
    <s v="EKO RISDIYANTORO JATIMULYA"/>
    <m/>
    <x v="2"/>
    <m/>
    <s v="HANIF"/>
    <m/>
    <s v="HARDWARE"/>
    <m/>
    <s v="SAMSUNG"/>
    <m/>
    <s v="SAMSUNG M32"/>
    <m/>
    <s v="JASA71"/>
    <m/>
    <s v="JASA REPAIR"/>
    <m/>
    <n v="0"/>
    <m/>
    <n v="1"/>
    <m/>
    <n v="110000"/>
    <m/>
    <n v="110000"/>
    <m/>
    <s v="Achmad Indrawanto"/>
    <m/>
    <s v="N/A"/>
  </r>
  <r>
    <m/>
    <x v="14"/>
    <m/>
    <s v="MF-FP.25029"/>
    <m/>
    <s v="MF-ST.22524"/>
    <m/>
    <d v="2026-05-08T00:00:00"/>
    <m/>
    <s v="Member Reguler"/>
    <m/>
    <s v="C.08482"/>
    <m/>
    <s v="SUTARNO"/>
    <m/>
    <s v="HANIF"/>
    <m/>
    <s v="SERVICE HANDPHONE"/>
    <m/>
    <x v="1"/>
    <m/>
    <s v="EKO RISDIYANTORO JATIMULYA"/>
    <m/>
    <x v="2"/>
    <m/>
    <s v="HANIF"/>
    <m/>
    <s v="HARDWARE"/>
    <m/>
    <s v="SAMSUNG"/>
    <m/>
    <s v="SAMSUNG M32"/>
    <m/>
    <s v="106878"/>
    <m/>
    <s v="FLFNG SAM A32 5G"/>
    <m/>
    <n v="39000"/>
    <m/>
    <n v="1"/>
    <m/>
    <n v="65000"/>
    <m/>
    <n v="65000"/>
    <m/>
    <s v="Achmad Indrawanto"/>
    <m/>
    <s v="N/A"/>
  </r>
  <r>
    <m/>
    <x v="14"/>
    <m/>
    <s v="MF-FP.25029"/>
    <m/>
    <s v="MF-ST.22524"/>
    <m/>
    <d v="2026-05-08T00:00:00"/>
    <m/>
    <s v="Member Reguler"/>
    <m/>
    <s v="C.08482"/>
    <m/>
    <s v="SUTARNO"/>
    <m/>
    <s v="HANIF"/>
    <m/>
    <s v="SERVICE HANDPHONE"/>
    <m/>
    <x v="2"/>
    <m/>
    <s v="EKO RISDIYANTORO JATIMULYA"/>
    <m/>
    <x v="2"/>
    <m/>
    <s v="HANIF"/>
    <m/>
    <s v="HARDWARE"/>
    <m/>
    <s v="SAMSUNG"/>
    <m/>
    <s v="SAMSUNG M32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4"/>
    <m/>
    <s v="MF-FP.25030"/>
    <m/>
    <s v="MF-ST.22525"/>
    <m/>
    <d v="2026-05-08T00:00:00"/>
    <m/>
    <s v="Member Reguler"/>
    <m/>
    <s v="C.12809"/>
    <m/>
    <s v="ALFAN"/>
    <m/>
    <s v="HANIF"/>
    <m/>
    <s v="SERVICE HANDPHONE"/>
    <m/>
    <x v="1"/>
    <m/>
    <s v="ARI MARWAN"/>
    <m/>
    <x v="0"/>
    <m/>
    <s v="HANIF"/>
    <m/>
    <s v="HARDWARE"/>
    <m/>
    <s v="XIAOMI"/>
    <m/>
    <s v="redmi 10"/>
    <m/>
    <s v="100467"/>
    <m/>
    <s v="FLCRG XIO REDMI 10 4G"/>
    <m/>
    <n v="13111.063647999999"/>
    <m/>
    <n v="1"/>
    <m/>
    <n v="25000"/>
    <m/>
    <n v="25000"/>
    <m/>
    <s v="ARI MARWAN"/>
    <m/>
    <s v="N/A"/>
  </r>
  <r>
    <m/>
    <x v="14"/>
    <m/>
    <s v="MF-FP.25030"/>
    <m/>
    <s v="MF-ST.22525"/>
    <m/>
    <d v="2026-05-08T00:00:00"/>
    <m/>
    <s v="Member Reguler"/>
    <m/>
    <s v="C.12809"/>
    <m/>
    <s v="ALFAN"/>
    <m/>
    <s v="HANIF"/>
    <m/>
    <s v="SERVICE HANDPHONE"/>
    <m/>
    <x v="2"/>
    <m/>
    <s v="ARI MARWAN"/>
    <m/>
    <x v="0"/>
    <m/>
    <s v="HANIF"/>
    <m/>
    <s v="HARDWARE"/>
    <m/>
    <s v="XIAOMI"/>
    <m/>
    <s v="redmi 10"/>
    <m/>
    <s v="AKOR-014"/>
    <m/>
    <s v="ORAIMO CABLE TYPE-C 2A OCD-114C"/>
    <m/>
    <n v="15000"/>
    <m/>
    <n v="1"/>
    <m/>
    <n v="25000"/>
    <m/>
    <n v="25000"/>
    <m/>
    <s v="ARI MARWAN"/>
    <m/>
    <s v="N/A"/>
  </r>
  <r>
    <m/>
    <x v="14"/>
    <m/>
    <s v="MF-FP.25034"/>
    <m/>
    <s v="MF-ST.22528"/>
    <m/>
    <d v="2026-05-08T00:00:00"/>
    <m/>
    <s v="Member Reguler"/>
    <m/>
    <s v="C.05442"/>
    <m/>
    <s v="ALDO"/>
    <m/>
    <s v="HANIF"/>
    <m/>
    <s v="SERVICE HANDPHONE"/>
    <m/>
    <x v="0"/>
    <m/>
    <s v="EKO RISDIYANTORO JATIMULYA"/>
    <m/>
    <x v="2"/>
    <m/>
    <s v="HANIF"/>
    <m/>
    <s v="LCD"/>
    <m/>
    <s v="SAMSUNG"/>
    <m/>
    <s v="SAMSUNG A04"/>
    <m/>
    <s v="JASA71"/>
    <m/>
    <s v="JASA REPAIR"/>
    <m/>
    <n v="0"/>
    <m/>
    <n v="1"/>
    <m/>
    <n v="220000"/>
    <m/>
    <n v="220000"/>
    <m/>
    <s v="Achmad Indrawanto"/>
    <m/>
    <s v="N/A"/>
  </r>
  <r>
    <m/>
    <x v="14"/>
    <m/>
    <s v="MF-FP.25034"/>
    <m/>
    <s v="MF-ST.22528"/>
    <m/>
    <d v="2026-05-08T00:00:00"/>
    <m/>
    <s v="Member Reguler"/>
    <m/>
    <s v="C.05442"/>
    <m/>
    <s v="ALDO"/>
    <m/>
    <s v="HANIF"/>
    <m/>
    <s v="SERVICE HANDPHONE"/>
    <m/>
    <x v="1"/>
    <m/>
    <s v="EKO RISDIYANTORO JATIMULYA"/>
    <m/>
    <x v="2"/>
    <m/>
    <s v="HANIF"/>
    <m/>
    <s v="LCD"/>
    <m/>
    <s v="SAMSUNG"/>
    <m/>
    <s v="SAMSUNG A04"/>
    <m/>
    <s v="100758"/>
    <m/>
    <s v="LCD.. SAM A04"/>
    <m/>
    <n v="119166.666667"/>
    <m/>
    <n v="1"/>
    <m/>
    <n v="160000"/>
    <m/>
    <n v="160000"/>
    <m/>
    <s v="Achmad Indrawanto"/>
    <m/>
    <s v="N/A"/>
  </r>
  <r>
    <m/>
    <x v="14"/>
    <m/>
    <s v="MF-FP.25034"/>
    <m/>
    <s v="MF-ST.22528"/>
    <m/>
    <d v="2026-05-08T00:00:00"/>
    <m/>
    <s v="Member Reguler"/>
    <m/>
    <s v="C.05442"/>
    <m/>
    <s v="ALDO"/>
    <m/>
    <s v="HANIF"/>
    <m/>
    <s v="SERVICE HANDPHONE"/>
    <m/>
    <x v="2"/>
    <m/>
    <s v="EKO RISDIYANTORO JATIMULYA"/>
    <m/>
    <x v="2"/>
    <m/>
    <s v="HANIF"/>
    <m/>
    <s v="LCD"/>
    <m/>
    <s v="SAMSUNG"/>
    <m/>
    <s v="SAMSUNG A04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14"/>
    <m/>
    <s v="MF-FP.25035"/>
    <m/>
    <s v="MF-ST.22527"/>
    <m/>
    <d v="2026-05-08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7202"/>
    <m/>
    <s v="LUNA ADAPTOR CHARGER USB 20W AJ-4Y"/>
    <m/>
    <n v="39000"/>
    <m/>
    <n v="1"/>
    <m/>
    <n v="70000"/>
    <m/>
    <n v="70000"/>
    <m/>
    <m/>
    <m/>
    <s v="N/A"/>
  </r>
  <r>
    <m/>
    <x v="14"/>
    <m/>
    <s v="MF-FP.25031"/>
    <m/>
    <s v="MF-ST.22526"/>
    <m/>
    <d v="2026-05-08T00:00:00"/>
    <m/>
    <s v="Member Reguler"/>
    <m/>
    <s v="C.12809"/>
    <m/>
    <s v="ALFAN"/>
    <m/>
    <s v="HANIF"/>
    <m/>
    <s v="SERVICE HANDPHONE"/>
    <m/>
    <x v="0"/>
    <m/>
    <s v="ABDUL MUNAJAT"/>
    <m/>
    <x v="0"/>
    <m/>
    <s v="HANIF"/>
    <m/>
    <s v="LCD"/>
    <m/>
    <s v="INFINIX"/>
    <m/>
    <s v="note 12"/>
    <m/>
    <s v="JASA71"/>
    <m/>
    <s v="JASA REPAIR"/>
    <m/>
    <n v="0"/>
    <m/>
    <n v="1"/>
    <m/>
    <n v="200000"/>
    <m/>
    <n v="200000"/>
    <m/>
    <s v="ARI MARWAN"/>
    <m/>
    <s v="N/A"/>
  </r>
  <r>
    <m/>
    <x v="14"/>
    <m/>
    <s v="MF-FP.25031"/>
    <m/>
    <s v="MF-ST.22526"/>
    <m/>
    <d v="2026-05-08T00:00:00"/>
    <m/>
    <s v="Member Reguler"/>
    <m/>
    <s v="C.12809"/>
    <m/>
    <s v="ALFAN"/>
    <m/>
    <s v="HANIF"/>
    <m/>
    <s v="SERVICE HANDPHONE"/>
    <m/>
    <x v="1"/>
    <m/>
    <s v="ABDUL MUNAJAT"/>
    <m/>
    <x v="0"/>
    <m/>
    <s v="HANIF"/>
    <m/>
    <s v="LCD"/>
    <m/>
    <s v="INFINIX"/>
    <m/>
    <s v="note 12"/>
    <m/>
    <s v="100732"/>
    <m/>
    <s v="LCD.. INF NOTE 11/NOTE 11 NFC X663/NOTE 12 X670 B"/>
    <m/>
    <n v="146069.78190100001"/>
    <m/>
    <n v="1"/>
    <m/>
    <n v="230000"/>
    <m/>
    <n v="230000"/>
    <m/>
    <s v="ARI MARWAN"/>
    <m/>
    <s v="N/A"/>
  </r>
  <r>
    <m/>
    <x v="14"/>
    <m/>
    <s v="MF-FP.25031"/>
    <m/>
    <s v="MF-ST.22526"/>
    <m/>
    <d v="2026-05-08T00:00:00"/>
    <m/>
    <s v="Member Reguler"/>
    <m/>
    <s v="C.12809"/>
    <m/>
    <s v="ALFAN"/>
    <m/>
    <s v="HANIF"/>
    <m/>
    <s v="SERVICE HANDPHONE"/>
    <m/>
    <x v="2"/>
    <m/>
    <s v="ABDUL MUNAJAT"/>
    <m/>
    <x v="0"/>
    <m/>
    <s v="HANIF"/>
    <m/>
    <s v="LCD"/>
    <m/>
    <s v="INFINIX"/>
    <m/>
    <s v="note 12"/>
    <m/>
    <s v="AKOR-014"/>
    <m/>
    <s v="ORAIMO CABLE TYPE-C 2A OCD-114C"/>
    <m/>
    <n v="15000"/>
    <m/>
    <n v="1"/>
    <m/>
    <n v="20000"/>
    <m/>
    <n v="20000"/>
    <m/>
    <s v="ARI MARWAN"/>
    <m/>
    <s v="N/A"/>
  </r>
  <r>
    <m/>
    <x v="14"/>
    <m/>
    <s v="MF-FP.25015"/>
    <m/>
    <m/>
    <m/>
    <m/>
    <m/>
    <m/>
    <m/>
    <s v="MCJ0030"/>
    <m/>
    <s v="PT. FEDERAL NITTAN INDUSTRIES"/>
    <m/>
    <m/>
    <m/>
    <s v="SERVICE LAPTOP"/>
    <m/>
    <x v="1"/>
    <m/>
    <m/>
    <m/>
    <x v="6"/>
    <m/>
    <s v="TEGAR PUTRA YANSA SALES"/>
    <m/>
    <m/>
    <m/>
    <m/>
    <m/>
    <m/>
    <m/>
    <s v="105565"/>
    <m/>
    <s v="VGEN SSD M2 NVME GEN3 HYPER 512GB"/>
    <m/>
    <n v="1686080.7248760001"/>
    <m/>
    <n v="1"/>
    <m/>
    <n v="2184000"/>
    <m/>
    <n v="2184000"/>
    <m/>
    <s v="TEGAR PUTRA YANSA SALES"/>
    <m/>
    <s v="N/A"/>
  </r>
  <r>
    <m/>
    <x v="14"/>
    <m/>
    <s v="MF-FP.25015"/>
    <m/>
    <s v="MF-ST.07222"/>
    <m/>
    <d v="2024-11-14T00:00:00"/>
    <m/>
    <s v="Karyawan Internal"/>
    <m/>
    <s v="MCJ0030"/>
    <m/>
    <s v="PT. FEDERAL NITTAN INDUSTRIES"/>
    <m/>
    <s v="Rhavy Armezhan Gita"/>
    <m/>
    <s v="SERVICE LAPTOP"/>
    <m/>
    <x v="0"/>
    <m/>
    <s v="AZIZ MA'DANI"/>
    <m/>
    <x v="6"/>
    <m/>
    <s v="TEGAR PUTRA YANSA SALES"/>
    <m/>
    <s v="BATERAI"/>
    <m/>
    <s v="HP"/>
    <m/>
    <s v="348 G4"/>
    <m/>
    <s v="JASA71"/>
    <m/>
    <s v="JASA REPAIR"/>
    <m/>
    <n v="0"/>
    <m/>
    <n v="1"/>
    <m/>
    <n v="1251000"/>
    <m/>
    <n v="1251000"/>
    <m/>
    <s v="TEGAR PUTRA YANSA SALES"/>
    <m/>
    <s v="N/A"/>
  </r>
  <r>
    <m/>
    <x v="14"/>
    <m/>
    <s v="MF-FP.25013"/>
    <m/>
    <s v="MF-ST.22505"/>
    <m/>
    <d v="2026-05-08T00:00:00"/>
    <m/>
    <s v="Umum"/>
    <m/>
    <s v="C.13220"/>
    <m/>
    <s v="ZAINAL"/>
    <m/>
    <s v="WAHYU PRATAMA"/>
    <m/>
    <s v="SERVICE HANDPHONE"/>
    <m/>
    <x v="1"/>
    <m/>
    <s v="YUVI NOFERIANTO"/>
    <m/>
    <x v="4"/>
    <m/>
    <s v="WAHYU PRATAMA"/>
    <m/>
    <s v="LCD"/>
    <m/>
    <s v="INFINIX"/>
    <m/>
    <s v="smart 8 pro"/>
    <m/>
    <s v="104665"/>
    <m/>
    <s v="LCD.. INF SMART 8 / SMART 8 PRO / HOT 40i / TECNO SPARK 20C B"/>
    <m/>
    <n v="152750"/>
    <m/>
    <n v="1"/>
    <m/>
    <n v="185000"/>
    <m/>
    <n v="185000"/>
    <m/>
    <m/>
    <m/>
    <s v="N/A"/>
  </r>
  <r>
    <m/>
    <x v="14"/>
    <m/>
    <s v="MF-FP.25013"/>
    <m/>
    <s v="MF-ST.22505"/>
    <m/>
    <d v="2026-05-08T00:00:00"/>
    <m/>
    <s v="Umum"/>
    <m/>
    <s v="C.13220"/>
    <m/>
    <s v="ZAINAL"/>
    <m/>
    <s v="WAHYU PRATAMA"/>
    <m/>
    <s v="SERVICE HANDPHONE"/>
    <m/>
    <x v="2"/>
    <m/>
    <s v="YUVI NOFERIANTO"/>
    <m/>
    <x v="4"/>
    <m/>
    <s v="WAHYU PRATAMA"/>
    <m/>
    <s v="LCD"/>
    <m/>
    <s v="INFINIX"/>
    <m/>
    <s v="smart 8 pro"/>
    <m/>
    <s v="AKOR-014"/>
    <m/>
    <s v="ORAIMO CABLE TYPE-C 2A OCD-114C"/>
    <m/>
    <n v="15000"/>
    <m/>
    <n v="1"/>
    <m/>
    <n v="15000"/>
    <m/>
    <n v="15000"/>
    <m/>
    <m/>
    <m/>
    <s v="N/A"/>
  </r>
  <r>
    <m/>
    <x v="14"/>
    <m/>
    <s v="MF-FP.25017"/>
    <m/>
    <s v="MF-ST.21130"/>
    <m/>
    <d v="2026-03-20T00:00:00"/>
    <m/>
    <s v="Member Reguler"/>
    <m/>
    <s v="C.08449"/>
    <m/>
    <s v="ANANDA"/>
    <m/>
    <s v="ARI MARWAN"/>
    <m/>
    <s v="SERVICE HANDPHONE"/>
    <m/>
    <x v="0"/>
    <m/>
    <s v="YUVI NOFERIANTO"/>
    <m/>
    <x v="4"/>
    <m/>
    <s v="WAHYU PRATAMA"/>
    <m/>
    <s v="LCD"/>
    <m/>
    <s v="INFINIX"/>
    <m/>
    <s v="HOT 40 PRO"/>
    <m/>
    <s v="JASA71"/>
    <m/>
    <s v="JASA REPAIR"/>
    <m/>
    <n v="0"/>
    <m/>
    <n v="1"/>
    <m/>
    <n v="285000"/>
    <m/>
    <n v="285000"/>
    <m/>
    <s v="Achmad Indrawanto"/>
    <m/>
    <s v="N/A"/>
  </r>
  <r>
    <m/>
    <x v="14"/>
    <m/>
    <s v="MF-FP.25017"/>
    <m/>
    <s v="MF-ST.21130"/>
    <m/>
    <d v="2026-03-20T00:00:00"/>
    <m/>
    <s v="Member Reguler"/>
    <m/>
    <s v="C.08449"/>
    <m/>
    <s v="ANANDA"/>
    <m/>
    <s v="ARI MARWAN"/>
    <m/>
    <s v="SERVICE HANDPHONE"/>
    <m/>
    <x v="1"/>
    <m/>
    <s v="YUVI NOFERIANTO"/>
    <m/>
    <x v="4"/>
    <m/>
    <s v="WAHYU PRATAMA"/>
    <m/>
    <s v="LCD"/>
    <m/>
    <s v="INFINIX"/>
    <m/>
    <s v="HOT 40 PRO"/>
    <m/>
    <s v="104221"/>
    <m/>
    <s v="LCD.. INF HOT 30 / HOT 40 / NOTE 30 / HOT 40 PRO X6831 B"/>
    <m/>
    <n v="141525.40502400001"/>
    <m/>
    <n v="1"/>
    <m/>
    <n v="185000"/>
    <m/>
    <n v="185000"/>
    <m/>
    <s v="Achmad Indrawanto"/>
    <m/>
    <s v="N/A"/>
  </r>
  <r>
    <m/>
    <x v="14"/>
    <m/>
    <s v="MF-FP.25013"/>
    <m/>
    <s v="MF-ST.22505"/>
    <m/>
    <d v="2026-05-08T00:00:00"/>
    <m/>
    <s v="Umum"/>
    <m/>
    <s v="C.13220"/>
    <m/>
    <s v="ZAINAL"/>
    <m/>
    <s v="WAHYU PRATAMA"/>
    <m/>
    <s v="SERVICE HANDPHONE"/>
    <m/>
    <x v="0"/>
    <m/>
    <s v="YUVI NOFERIANTO"/>
    <m/>
    <x v="4"/>
    <m/>
    <s v="WAHYU PRATAMA"/>
    <m/>
    <s v="LCD"/>
    <m/>
    <s v="INFINIX"/>
    <m/>
    <s v="smart 8 pro"/>
    <m/>
    <s v="JASA71"/>
    <m/>
    <s v="JASA REPAIR"/>
    <m/>
    <n v="0"/>
    <m/>
    <n v="1"/>
    <m/>
    <n v="200000"/>
    <m/>
    <n v="200000"/>
    <m/>
    <m/>
    <m/>
    <s v="N/A"/>
  </r>
  <r>
    <m/>
    <x v="14"/>
    <m/>
    <s v="MF-FP.25014"/>
    <m/>
    <s v="MF-ST.22507"/>
    <m/>
    <d v="2026-05-08T00:00:00"/>
    <m/>
    <s v="Umum"/>
    <m/>
    <s v="C.06805"/>
    <m/>
    <s v="Barka"/>
    <m/>
    <s v="WAHYU PRATAMA"/>
    <m/>
    <s v="SERVICE HANDPHONE"/>
    <m/>
    <x v="0"/>
    <m/>
    <s v="YUVI NOFERIANTO"/>
    <m/>
    <x v="4"/>
    <m/>
    <s v="WAHYU PRATAMA"/>
    <m/>
    <s v="REPAIR"/>
    <m/>
    <s v="SAMSUNG"/>
    <m/>
    <s v="SAM"/>
    <m/>
    <s v="JASA71"/>
    <m/>
    <s v="JASA REPAIR"/>
    <m/>
    <n v="0"/>
    <m/>
    <n v="1"/>
    <m/>
    <n v="20000"/>
    <m/>
    <n v="20000"/>
    <m/>
    <s v="TEGAR PUTRA YANSA SALES"/>
    <m/>
    <s v="N/A"/>
  </r>
  <r>
    <m/>
    <x v="14"/>
    <m/>
    <s v="MF-FP.25014"/>
    <m/>
    <s v="MF-ST.22507"/>
    <m/>
    <d v="2026-05-08T00:00:00"/>
    <m/>
    <s v="Umum"/>
    <m/>
    <s v="C.06805"/>
    <m/>
    <s v="Barka"/>
    <m/>
    <s v="WAHYU PRATAMA"/>
    <m/>
    <s v="SERVICE HANDPHONE"/>
    <m/>
    <x v="2"/>
    <m/>
    <s v="YUVI NOFERIANTO"/>
    <m/>
    <x v="4"/>
    <m/>
    <s v="WAHYU PRATAMA"/>
    <m/>
    <s v="REPAIR"/>
    <m/>
    <s v="SAMSUNG"/>
    <m/>
    <s v="SAM"/>
    <m/>
    <s v="AKOR-014"/>
    <m/>
    <s v="ORAIMO CABLE TYPE-C 2A OCD-114C"/>
    <m/>
    <n v="15000"/>
    <m/>
    <n v="1"/>
    <m/>
    <n v="15000"/>
    <m/>
    <n v="15000"/>
    <m/>
    <s v="TEGAR PUTRA YANSA SALES"/>
    <m/>
    <s v="N/A"/>
  </r>
  <r>
    <m/>
    <x v="14"/>
    <m/>
    <s v="MF-FP.25017"/>
    <m/>
    <s v="MF-ST.21130"/>
    <m/>
    <d v="2026-03-20T00:00:00"/>
    <m/>
    <s v="Member Reguler"/>
    <m/>
    <s v="C.08449"/>
    <m/>
    <s v="ANANDA"/>
    <m/>
    <s v="ARI MARWAN"/>
    <m/>
    <s v="SERVICE HANDPHONE"/>
    <m/>
    <x v="1"/>
    <m/>
    <s v="YUVI NOFERIANTO"/>
    <m/>
    <x v="4"/>
    <m/>
    <s v="WAHYU PRATAMA"/>
    <m/>
    <s v="LCD"/>
    <m/>
    <s v="INFINIX"/>
    <m/>
    <s v="HOT 40 PRO"/>
    <m/>
    <s v="106644"/>
    <m/>
    <s v="FLOFV INF HOT 40 / HOT 40 PRO"/>
    <m/>
    <n v="5846.1538460000002"/>
    <m/>
    <n v="1"/>
    <m/>
    <n v="15000"/>
    <m/>
    <n v="15000"/>
    <m/>
    <s v="Achmad Indrawanto"/>
    <m/>
    <s v="N/A"/>
  </r>
  <r>
    <m/>
    <x v="14"/>
    <m/>
    <s v="MF-FP.25018"/>
    <m/>
    <s v="MF-ST.22512"/>
    <m/>
    <d v="2026-05-08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CASING (FULL) ON/OFF"/>
    <m/>
    <s v="BELUM ADA MERK"/>
    <m/>
    <s v="N/A"/>
    <m/>
    <s v="106805"/>
    <m/>
    <s v="ANKER 322 USB-C TO LIGHTNING CABLE 6FT BRAIDED A81B6H11 BLACK"/>
    <m/>
    <n v="150000"/>
    <m/>
    <n v="1"/>
    <m/>
    <n v="180000"/>
    <m/>
    <n v="180000"/>
    <m/>
    <m/>
    <m/>
    <s v="N/A"/>
  </r>
  <r>
    <m/>
    <x v="14"/>
    <m/>
    <s v="MF-FP.25019"/>
    <m/>
    <s v="MF-ST.22513"/>
    <m/>
    <d v="2026-05-08T00:00:00"/>
    <m/>
    <s v="Umum"/>
    <m/>
    <s v="C.13223"/>
    <m/>
    <s v="SINTIA"/>
    <m/>
    <s v="HANIF"/>
    <m/>
    <s v="SERVICE HANDPHONE"/>
    <m/>
    <x v="0"/>
    <m/>
    <s v="EKO RISDIYANTORO JATIMULYA"/>
    <m/>
    <x v="2"/>
    <m/>
    <s v="HANIF"/>
    <m/>
    <s v="REPAIR"/>
    <m/>
    <s v="SAMSUNG"/>
    <m/>
    <s v="ZFLIP 4"/>
    <m/>
    <s v="JASA71"/>
    <m/>
    <s v="JASA REPAIR"/>
    <m/>
    <n v="0"/>
    <m/>
    <n v="1"/>
    <m/>
    <n v="105000"/>
    <m/>
    <n v="105000"/>
    <m/>
    <m/>
    <m/>
    <s v="N/A"/>
  </r>
  <r>
    <m/>
    <x v="14"/>
    <m/>
    <s v="MF-FP.25019"/>
    <m/>
    <s v="MF-ST.22513"/>
    <m/>
    <d v="2026-05-08T00:00:00"/>
    <m/>
    <s v="Umum"/>
    <m/>
    <s v="C.13223"/>
    <m/>
    <s v="SINTIA"/>
    <m/>
    <s v="HANIF"/>
    <m/>
    <s v="SERVICE HANDPHONE"/>
    <m/>
    <x v="2"/>
    <m/>
    <s v="EKO RISDIYANTORO JATIMULYA"/>
    <m/>
    <x v="2"/>
    <m/>
    <s v="HANIF"/>
    <m/>
    <s v="REPAIR"/>
    <m/>
    <s v="SAMSUNG"/>
    <m/>
    <s v="ZFLIP 4"/>
    <m/>
    <s v="AKOR-014"/>
    <m/>
    <s v="ORAIMO CABLE TYPE-C 2A OCD-114C"/>
    <m/>
    <n v="15000"/>
    <m/>
    <n v="1"/>
    <m/>
    <n v="20000"/>
    <m/>
    <n v="20000"/>
    <m/>
    <m/>
    <m/>
    <s v="N/A"/>
  </r>
  <r>
    <m/>
    <x v="14"/>
    <m/>
    <s v="MF-FP.25020"/>
    <m/>
    <s v="MF-ST.22514"/>
    <m/>
    <d v="2026-05-08T00:00:00"/>
    <m/>
    <s v="Umum"/>
    <m/>
    <s v="C.13224"/>
    <m/>
    <s v="BAIM"/>
    <m/>
    <s v="WAHYU PRATAMA"/>
    <m/>
    <s v="SERVICE HANDPHONE"/>
    <m/>
    <x v="0"/>
    <m/>
    <s v="ARI MARWAN"/>
    <m/>
    <x v="0"/>
    <m/>
    <s v="WAHYU PRATAMA"/>
    <m/>
    <s v="LCD"/>
    <m/>
    <s v="NOKIA"/>
    <m/>
    <s v="5.3"/>
    <m/>
    <s v="JASA71"/>
    <m/>
    <s v="JASA REPAIR"/>
    <m/>
    <n v="0"/>
    <m/>
    <n v="1"/>
    <m/>
    <n v="200000"/>
    <m/>
    <n v="200000"/>
    <m/>
    <m/>
    <m/>
    <s v="N/A"/>
  </r>
  <r>
    <m/>
    <x v="14"/>
    <m/>
    <s v="MF-FP.25020"/>
    <m/>
    <s v="MF-ST.22514"/>
    <m/>
    <d v="2026-05-08T00:00:00"/>
    <m/>
    <s v="Umum"/>
    <m/>
    <s v="C.13224"/>
    <m/>
    <s v="BAIM"/>
    <m/>
    <s v="WAHYU PRATAMA"/>
    <m/>
    <s v="SERVICE HANDPHONE"/>
    <m/>
    <x v="1"/>
    <m/>
    <s v="ARI MARWAN"/>
    <m/>
    <x v="0"/>
    <m/>
    <s v="WAHYU PRATAMA"/>
    <m/>
    <s v="LCD"/>
    <m/>
    <s v="NOKIA"/>
    <m/>
    <s v="5.3"/>
    <m/>
    <s v="105751"/>
    <m/>
    <s v="LCD.. NOKIA 5.3 B"/>
    <m/>
    <n v="130000"/>
    <m/>
    <n v="1"/>
    <m/>
    <n v="185000"/>
    <m/>
    <n v="185000"/>
    <m/>
    <m/>
    <m/>
    <s v="N/A"/>
  </r>
  <r>
    <m/>
    <x v="14"/>
    <m/>
    <s v="MF-FP.25020"/>
    <m/>
    <s v="MF-ST.22514"/>
    <m/>
    <d v="2026-05-08T00:00:00"/>
    <m/>
    <s v="Umum"/>
    <m/>
    <s v="C.13224"/>
    <m/>
    <s v="BAIM"/>
    <m/>
    <s v="WAHYU PRATAMA"/>
    <m/>
    <s v="SERVICE HANDPHONE"/>
    <m/>
    <x v="2"/>
    <m/>
    <s v="ARI MARWAN"/>
    <m/>
    <x v="0"/>
    <m/>
    <s v="WAHYU PRATAMA"/>
    <m/>
    <s v="LCD"/>
    <m/>
    <s v="NOKIA"/>
    <m/>
    <s v="5.3"/>
    <m/>
    <s v="AKOR-014"/>
    <m/>
    <s v="ORAIMO CABLE TYPE-C 2A OCD-114C"/>
    <m/>
    <n v="15000"/>
    <m/>
    <n v="1"/>
    <m/>
    <n v="15000"/>
    <m/>
    <n v="15000"/>
    <m/>
    <m/>
    <m/>
    <s v="N/A"/>
  </r>
  <r>
    <m/>
    <x v="14"/>
    <m/>
    <s v="MF-FP.25022"/>
    <m/>
    <s v="MF-ST.21618"/>
    <m/>
    <d v="2026-04-05T00:00:00"/>
    <m/>
    <s v="Umum"/>
    <m/>
    <s v="C.11542"/>
    <m/>
    <s v="KINAN"/>
    <m/>
    <s v="ARI MARWAN"/>
    <m/>
    <s v="SERVICE HANDPHONE"/>
    <m/>
    <x v="0"/>
    <m/>
    <s v="YUVI NOFERIANTO"/>
    <m/>
    <x v="4"/>
    <m/>
    <s v="HANIF"/>
    <m/>
    <s v="REPAIR"/>
    <m/>
    <s v="REALME"/>
    <m/>
    <s v="11 PRO"/>
    <m/>
    <s v="JASA71"/>
    <m/>
    <s v="JASA REPAIR"/>
    <m/>
    <n v="0"/>
    <m/>
    <n v="1"/>
    <m/>
    <n v="50000"/>
    <m/>
    <n v="50000"/>
    <m/>
    <m/>
    <m/>
    <s v="N/A"/>
  </r>
  <r>
    <m/>
    <x v="14"/>
    <m/>
    <s v="MF-FP.25023"/>
    <m/>
    <s v="MF-ST.21290"/>
    <m/>
    <d v="2026-03-26T00:00:00"/>
    <m/>
    <s v="Member Reguler"/>
    <m/>
    <s v="C.12234"/>
    <m/>
    <s v="RIZAL"/>
    <m/>
    <s v="WAHYU PRATAMA"/>
    <m/>
    <s v="SERVICE HANDPHONE"/>
    <m/>
    <x v="1"/>
    <m/>
    <s v="YUVI NOFERIANTO"/>
    <m/>
    <x v="7"/>
    <m/>
    <s v="HANIF"/>
    <m/>
    <s v="LCD"/>
    <m/>
    <s v="XIAOMI"/>
    <m/>
    <s v="13C"/>
    <m/>
    <s v="105056"/>
    <m/>
    <s v="LCD.. XIO REDMI 13C/POCO C65 B"/>
    <m/>
    <n v="138000"/>
    <m/>
    <n v="1"/>
    <m/>
    <n v="151500"/>
    <m/>
    <n v="151500"/>
    <m/>
    <s v="Achmad Indrawanto"/>
    <m/>
    <s v="N/A"/>
  </r>
  <r>
    <m/>
    <x v="14"/>
    <m/>
    <s v="MF-FP.25025"/>
    <m/>
    <s v="MF-ST.17813"/>
    <m/>
    <d v="2025-11-16T00:00:00"/>
    <m/>
    <s v="Umum"/>
    <m/>
    <s v="C.11093"/>
    <m/>
    <s v="ISMAYAWATI"/>
    <m/>
    <s v="Achmad Indrawanto"/>
    <m/>
    <s v="SERVICE HANDPHONE"/>
    <m/>
    <x v="0"/>
    <m/>
    <s v="YUVI NOFERIANTO"/>
    <m/>
    <x v="4"/>
    <m/>
    <s v="HANIF"/>
    <m/>
    <s v="BATERAI"/>
    <m/>
    <s v="VIVO"/>
    <m/>
    <s v="Vivo y21"/>
    <m/>
    <s v="JASA71"/>
    <m/>
    <s v="JASA REPAIR"/>
    <m/>
    <n v="0"/>
    <m/>
    <n v="1"/>
    <m/>
    <n v="200000"/>
    <m/>
    <n v="200000"/>
    <m/>
    <s v="Achmad Indrawanto"/>
    <m/>
    <s v="N/A"/>
  </r>
  <r>
    <m/>
    <x v="14"/>
    <m/>
    <s v="MF-FP.25017"/>
    <m/>
    <s v="MF-ST.21130"/>
    <m/>
    <d v="2026-03-20T00:00:00"/>
    <m/>
    <s v="Member Reguler"/>
    <m/>
    <s v="C.08449"/>
    <m/>
    <s v="ANANDA"/>
    <m/>
    <s v="ARI MARWAN"/>
    <m/>
    <s v="SERVICE HANDPHONE"/>
    <m/>
    <x v="2"/>
    <m/>
    <s v="YUVI NOFERIANTO"/>
    <m/>
    <x v="4"/>
    <m/>
    <s v="WAHYU PRATAMA"/>
    <m/>
    <s v="LCD"/>
    <m/>
    <s v="INFINIX"/>
    <m/>
    <s v="HOT 40 PRO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14"/>
    <m/>
    <s v="MF-FP.25015"/>
    <m/>
    <s v="MF-ST.22508"/>
    <m/>
    <d v="2026-05-08T00:00:00"/>
    <m/>
    <s v="Karyawan Internal"/>
    <m/>
    <s v="MCJ0030"/>
    <m/>
    <s v="PT. FEDERAL NITTAN INDUSTRIES"/>
    <m/>
    <s v="WAHYU PRATAMA"/>
    <m/>
    <s v="SERVICE LAPTOP"/>
    <m/>
    <x v="2"/>
    <m/>
    <s v="ARIFIN SANTOSO JATIMULYA"/>
    <m/>
    <x v="6"/>
    <m/>
    <s v="TEGAR PUTRA YANSA SALES"/>
    <m/>
    <s v="SSD"/>
    <m/>
    <s v="HP"/>
    <m/>
    <s v="PRBOOK 440 G5"/>
    <m/>
    <s v="AKOR-014"/>
    <m/>
    <s v="ORAIMO CABLE TYPE-C 2A OCD-114C"/>
    <m/>
    <n v="15000"/>
    <m/>
    <n v="1"/>
    <m/>
    <n v="15000"/>
    <m/>
    <n v="15000"/>
    <m/>
    <s v="TEGAR PUTRA YANSA SALES"/>
    <m/>
    <s v="N/A"/>
  </r>
  <r>
    <m/>
    <x v="14"/>
    <m/>
    <s v="MF-FP.25015"/>
    <m/>
    <s v="MF-ST.22508"/>
    <m/>
    <d v="2026-05-08T00:00:00"/>
    <m/>
    <s v="Karyawan Internal"/>
    <m/>
    <s v="MCJ0030"/>
    <m/>
    <s v="PT. FEDERAL NITTAN INDUSTRIES"/>
    <m/>
    <s v="WAHYU PRATAMA"/>
    <m/>
    <s v="SERVICE LAPTOP"/>
    <m/>
    <x v="1"/>
    <m/>
    <s v="ARIFIN SANTOSO JATIMULYA"/>
    <m/>
    <x v="6"/>
    <m/>
    <s v="TEGAR PUTRA YANSA SALES"/>
    <m/>
    <s v="SSD"/>
    <m/>
    <s v="HP"/>
    <m/>
    <s v="PRBOOK 440 G5"/>
    <m/>
    <s v="105639"/>
    <m/>
    <s v="VGEN PLATINUM SODIM DDR4 8GB PC-25600/3200MHZ"/>
    <m/>
    <n v="624875"/>
    <m/>
    <n v="1"/>
    <m/>
    <n v="850000"/>
    <m/>
    <n v="850000"/>
    <m/>
    <s v="TEGAR PUTRA YANSA SALES"/>
    <m/>
    <s v="N/A"/>
  </r>
  <r>
    <m/>
    <x v="14"/>
    <m/>
    <s v="MF-FP.25024"/>
    <m/>
    <s v="MF-ST.22509"/>
    <m/>
    <d v="2026-05-08T00:00:00"/>
    <m/>
    <s v="Member Reguler"/>
    <m/>
    <s v="C.04711"/>
    <m/>
    <s v="SUTARSIH"/>
    <m/>
    <s v="WAHYU PRATAMA"/>
    <m/>
    <s v="SERVICE HANDPHONE"/>
    <m/>
    <x v="0"/>
    <m/>
    <s v="YUVI NOFERIANTO"/>
    <m/>
    <x v="4"/>
    <m/>
    <s v="HANIF"/>
    <m/>
    <s v="BATERAI"/>
    <m/>
    <s v="SAMSUNG"/>
    <m/>
    <s v="A04"/>
    <m/>
    <s v="JASA71"/>
    <m/>
    <s v="JASA REPAIR"/>
    <m/>
    <n v="0"/>
    <m/>
    <n v="1"/>
    <m/>
    <n v="130000"/>
    <m/>
    <n v="130000"/>
    <m/>
    <m/>
    <m/>
    <s v="N/A"/>
  </r>
  <r>
    <m/>
    <x v="14"/>
    <m/>
    <s v="MF-FP.25024"/>
    <m/>
    <s v="MF-ST.22509"/>
    <m/>
    <d v="2026-05-08T00:00:00"/>
    <m/>
    <s v="Member Reguler"/>
    <m/>
    <s v="C.04711"/>
    <m/>
    <s v="SUTARSIH"/>
    <m/>
    <s v="WAHYU PRATAMA"/>
    <m/>
    <s v="SERVICE HANDPHONE"/>
    <m/>
    <x v="1"/>
    <m/>
    <s v="YUVI NOFERIANTO"/>
    <m/>
    <x v="4"/>
    <m/>
    <s v="HANIF"/>
    <m/>
    <s v="BATERAI"/>
    <m/>
    <s v="SAMSUNG"/>
    <m/>
    <s v="A04"/>
    <m/>
    <s v="106306"/>
    <m/>
    <s v="BATER SAM A14 5G/A04/A04E/A22 5G"/>
    <m/>
    <n v="127886.981402"/>
    <m/>
    <n v="1"/>
    <m/>
    <n v="150000"/>
    <m/>
    <n v="150000"/>
    <m/>
    <m/>
    <m/>
    <s v="N/A"/>
  </r>
  <r>
    <m/>
    <x v="14"/>
    <m/>
    <s v="MF-FP.25024"/>
    <m/>
    <s v="MF-ST.22509"/>
    <m/>
    <d v="2026-05-08T00:00:00"/>
    <m/>
    <s v="Member Reguler"/>
    <m/>
    <s v="C.04711"/>
    <m/>
    <s v="SUTARSIH"/>
    <m/>
    <s v="WAHYU PRATAMA"/>
    <m/>
    <s v="SERVICE HANDPHONE"/>
    <m/>
    <x v="2"/>
    <m/>
    <s v="YUVI NOFERIANTO"/>
    <m/>
    <x v="4"/>
    <m/>
    <s v="HANIF"/>
    <m/>
    <s v="BATERAI"/>
    <m/>
    <s v="SAMSUNG"/>
    <m/>
    <s v="A04"/>
    <m/>
    <s v="AKOR-014"/>
    <m/>
    <s v="ORAIMO CABLE TYPE-C 2A OCD-114C"/>
    <m/>
    <n v="15000"/>
    <m/>
    <n v="1"/>
    <m/>
    <n v="20000"/>
    <m/>
    <n v="20000"/>
    <m/>
    <m/>
    <m/>
    <s v="N/A"/>
  </r>
  <r>
    <m/>
    <x v="14"/>
    <m/>
    <s v="MF-FP.25025"/>
    <m/>
    <s v="MF-ST.17813"/>
    <m/>
    <d v="2025-11-16T00:00:00"/>
    <m/>
    <s v="Umum"/>
    <m/>
    <s v="C.11093"/>
    <m/>
    <s v="ISMAYAWATI"/>
    <m/>
    <s v="Achmad Indrawanto"/>
    <m/>
    <s v="SERVICE HANDPHONE"/>
    <m/>
    <x v="1"/>
    <m/>
    <s v="YUVI NOFERIANTO"/>
    <m/>
    <x v="4"/>
    <m/>
    <s v="HANIF"/>
    <m/>
    <s v="BATERAI"/>
    <m/>
    <s v="VIVO"/>
    <m/>
    <s v="Vivo y21"/>
    <m/>
    <s v="103511"/>
    <m/>
    <s v="BATER VIV Y21/Y21s/Y33s BS1 B-S1"/>
    <m/>
    <n v="97000"/>
    <m/>
    <n v="1"/>
    <m/>
    <n v="200000"/>
    <m/>
    <n v="200000"/>
    <m/>
    <s v="Achmad Indrawanto"/>
    <m/>
    <s v="N/A"/>
  </r>
  <r>
    <m/>
    <x v="14"/>
    <m/>
    <s v="MF-FP.25026"/>
    <m/>
    <s v="MF-ST.22520"/>
    <m/>
    <d v="2026-05-08T00:00:00"/>
    <m/>
    <s v="Member Reguler"/>
    <m/>
    <s v="C.06862"/>
    <m/>
    <s v="KEMI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7160"/>
    <m/>
    <s v="ANKER 322 USB-C TO USB-C CABLE (3FT BRAIDED) A81F5H21 WHITE"/>
    <m/>
    <n v="45000"/>
    <m/>
    <n v="1"/>
    <m/>
    <n v="100000"/>
    <m/>
    <n v="100000"/>
    <m/>
    <s v="Achmad Indrawanto"/>
    <m/>
    <s v="N/A"/>
  </r>
  <r>
    <m/>
    <x v="14"/>
    <m/>
    <s v="MF-FP.25027"/>
    <m/>
    <s v="MF-ST.22519"/>
    <m/>
    <d v="2026-05-08T00:00:00"/>
    <m/>
    <s v="Member Reguler"/>
    <m/>
    <s v="C.06862"/>
    <m/>
    <s v="KEMI"/>
    <m/>
    <s v="HANIF"/>
    <m/>
    <s v="SERVICE HANDPHONE"/>
    <m/>
    <x v="0"/>
    <m/>
    <s v="ARI MARWAN"/>
    <m/>
    <x v="0"/>
    <m/>
    <s v="HANIF"/>
    <m/>
    <s v="LCD"/>
    <m/>
    <s v="SAMSUNG"/>
    <m/>
    <s v="Samsung A05s"/>
    <m/>
    <s v="JASA71"/>
    <m/>
    <s v="JASA REPAIR"/>
    <m/>
    <n v="0"/>
    <m/>
    <n v="1"/>
    <m/>
    <n v="310000"/>
    <m/>
    <n v="310000"/>
    <m/>
    <s v="Achmad Indrawanto"/>
    <m/>
    <s v="N/A"/>
  </r>
  <r>
    <m/>
    <x v="14"/>
    <m/>
    <s v="MF-FP.25027"/>
    <m/>
    <s v="MF-ST.22519"/>
    <m/>
    <d v="2026-05-08T00:00:00"/>
    <m/>
    <s v="Member Reguler"/>
    <m/>
    <s v="C.06862"/>
    <m/>
    <s v="KEMI"/>
    <m/>
    <s v="HANIF"/>
    <m/>
    <s v="SERVICE HANDPHONE"/>
    <m/>
    <x v="1"/>
    <m/>
    <s v="ARI MARWAN"/>
    <m/>
    <x v="0"/>
    <m/>
    <s v="HANIF"/>
    <m/>
    <s v="LCD"/>
    <m/>
    <s v="SAMSUNG"/>
    <m/>
    <s v="Samsung A05s"/>
    <m/>
    <s v="104076"/>
    <m/>
    <s v="LCD.. SAM A05S A057 B"/>
    <m/>
    <n v="148020.833334"/>
    <m/>
    <n v="1"/>
    <m/>
    <n v="190000"/>
    <m/>
    <n v="190000"/>
    <m/>
    <s v="Achmad Indrawanto"/>
    <m/>
    <s v="N/A"/>
  </r>
  <r>
    <m/>
    <x v="14"/>
    <m/>
    <s v="MF-FP.25027"/>
    <m/>
    <s v="MF-ST.22519"/>
    <m/>
    <d v="2026-05-08T00:00:00"/>
    <m/>
    <s v="Member Reguler"/>
    <m/>
    <s v="C.06862"/>
    <m/>
    <s v="KEMI"/>
    <m/>
    <s v="HANIF"/>
    <m/>
    <s v="SERVICE HANDPHONE"/>
    <m/>
    <x v="1"/>
    <m/>
    <s v="ARI MARWAN"/>
    <m/>
    <x v="0"/>
    <m/>
    <s v="HANIF"/>
    <m/>
    <s v="LCD"/>
    <m/>
    <s v="SAMSUNG"/>
    <m/>
    <s v="Samsung A05s"/>
    <m/>
    <s v="105429"/>
    <m/>
    <s v="FLCRG SAM A05S"/>
    <m/>
    <n v="25000"/>
    <m/>
    <n v="1"/>
    <m/>
    <n v="30000"/>
    <m/>
    <n v="30000"/>
    <m/>
    <s v="Achmad Indrawanto"/>
    <m/>
    <s v="N/A"/>
  </r>
  <r>
    <m/>
    <x v="14"/>
    <m/>
    <s v="MF-FP.25027"/>
    <m/>
    <s v="MF-ST.22519"/>
    <m/>
    <d v="2026-05-08T00:00:00"/>
    <m/>
    <s v="Member Reguler"/>
    <m/>
    <s v="C.06862"/>
    <m/>
    <s v="KEMI"/>
    <m/>
    <s v="HANIF"/>
    <m/>
    <s v="SERVICE HANDPHONE"/>
    <m/>
    <x v="2"/>
    <m/>
    <s v="ARI MARWAN"/>
    <m/>
    <x v="0"/>
    <m/>
    <s v="HANIF"/>
    <m/>
    <s v="LCD"/>
    <m/>
    <s v="SAMSUNG"/>
    <m/>
    <s v="Samsung A05s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15"/>
    <m/>
    <s v="MF-FP.25036"/>
    <m/>
    <s v="MF-ST.22530"/>
    <m/>
    <d v="2026-05-09T00:00:00"/>
    <m/>
    <s v="Umum"/>
    <m/>
    <s v="C.00000"/>
    <m/>
    <s v="Pelanggan Umum"/>
    <m/>
    <s v="WAHYU PRATAMA"/>
    <m/>
    <s v="SERVICE HANDPHONE"/>
    <m/>
    <x v="0"/>
    <m/>
    <s v="EKO RISDIYANTORO JATIMULYA"/>
    <m/>
    <x v="2"/>
    <m/>
    <s v="WAHYU PRATAMA"/>
    <m/>
    <s v="REPAIR"/>
    <m/>
    <s v="SAMSUNG"/>
    <m/>
    <s v="SAM"/>
    <m/>
    <s v="JASA71"/>
    <m/>
    <s v="JASA REPAIR"/>
    <m/>
    <n v="0"/>
    <m/>
    <n v="1"/>
    <m/>
    <n v="35000"/>
    <m/>
    <n v="35000"/>
    <m/>
    <m/>
    <m/>
    <s v="N/A"/>
  </r>
  <r>
    <m/>
    <x v="15"/>
    <m/>
    <s v="MF-FP.25038"/>
    <m/>
    <s v="MF-ST.22532"/>
    <m/>
    <d v="2026-05-09T00:00:00"/>
    <m/>
    <s v="Umum"/>
    <m/>
    <s v="C.00834"/>
    <m/>
    <s v="Ipah"/>
    <m/>
    <s v="WAHYU PRATAMA"/>
    <m/>
    <s v="SERVICE HANDPHONE"/>
    <m/>
    <x v="0"/>
    <m/>
    <s v="EKO RISDIYANTORO JATIMULYA"/>
    <m/>
    <x v="2"/>
    <m/>
    <s v="WAHYU PRATAMA"/>
    <m/>
    <s v="REPAIR"/>
    <m/>
    <s v="INFINIX"/>
    <m/>
    <s v="hot 30"/>
    <m/>
    <s v="JASA71"/>
    <m/>
    <s v="JASA REPAIR"/>
    <m/>
    <n v="0"/>
    <m/>
    <n v="1"/>
    <m/>
    <n v="50000"/>
    <m/>
    <n v="50000"/>
    <m/>
    <m/>
    <m/>
    <s v="N/A"/>
  </r>
  <r>
    <m/>
    <x v="15"/>
    <m/>
    <s v="MF-FP.25038"/>
    <m/>
    <s v="MF-ST.22532"/>
    <m/>
    <d v="2026-05-09T00:00:00"/>
    <m/>
    <s v="Umum"/>
    <m/>
    <s v="C.00834"/>
    <m/>
    <s v="Ipah"/>
    <m/>
    <s v="WAHYU PRATAMA"/>
    <m/>
    <s v="SERVICE HANDPHONE"/>
    <m/>
    <x v="2"/>
    <m/>
    <s v="EKO RISDIYANTORO JATIMULYA"/>
    <m/>
    <x v="2"/>
    <m/>
    <s v="WAHYU PRATAMA"/>
    <m/>
    <s v="REPAIR"/>
    <m/>
    <s v="INFINIX"/>
    <m/>
    <s v="hot 30"/>
    <m/>
    <s v="AKOR-014"/>
    <m/>
    <s v="ORAIMO CABLE TYPE-C 2A OCD-114C"/>
    <m/>
    <n v="15000"/>
    <m/>
    <n v="1"/>
    <m/>
    <n v="15000"/>
    <m/>
    <n v="15000"/>
    <m/>
    <m/>
    <m/>
    <s v="N/A"/>
  </r>
  <r>
    <m/>
    <x v="15"/>
    <m/>
    <s v="MF-FP.25039"/>
    <m/>
    <s v="MF-ST.22368"/>
    <m/>
    <d v="2026-05-02T00:00:00"/>
    <m/>
    <s v="Member Reguler"/>
    <m/>
    <s v="C.12207"/>
    <m/>
    <s v="SINGGIH"/>
    <m/>
    <s v="Achmad Indrawanto"/>
    <m/>
    <s v="SERVICE LAPTOP"/>
    <m/>
    <x v="0"/>
    <m/>
    <s v="ARIFIN SANTOSO JATIMULYA"/>
    <m/>
    <x v="6"/>
    <m/>
    <s v="WAHYU PRATAMA"/>
    <m/>
    <s v="SOFTWARE"/>
    <m/>
    <s v="LENOVO"/>
    <m/>
    <s v="Lenovo X270"/>
    <m/>
    <s v="JASA71"/>
    <m/>
    <s v="JASA REPAIR"/>
    <m/>
    <n v="0"/>
    <m/>
    <n v="1"/>
    <m/>
    <n v="235000"/>
    <m/>
    <n v="235000"/>
    <m/>
    <s v="Achmad Indrawanto"/>
    <m/>
    <s v="N/A"/>
  </r>
  <r>
    <m/>
    <x v="15"/>
    <m/>
    <s v="MF-FP.25039"/>
    <m/>
    <s v="MF-ST.22368"/>
    <m/>
    <d v="2026-05-02T00:00:00"/>
    <m/>
    <s v="Member Reguler"/>
    <m/>
    <s v="C.12207"/>
    <m/>
    <s v="SINGGIH"/>
    <m/>
    <s v="Achmad Indrawanto"/>
    <m/>
    <s v="SERVICE LAPTOP"/>
    <m/>
    <x v="2"/>
    <m/>
    <s v="ARIFIN SANTOSO JATIMULYA"/>
    <m/>
    <x v="6"/>
    <m/>
    <s v="WAHYU PRATAMA"/>
    <m/>
    <s v="SOFTWARE"/>
    <m/>
    <s v="LENOVO"/>
    <m/>
    <s v="Lenovo X270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15"/>
    <m/>
    <s v="MF-FP.25040"/>
    <m/>
    <s v="MF-ST.22539"/>
    <m/>
    <d v="2026-05-09T00:00:00"/>
    <m/>
    <s v="Umum"/>
    <m/>
    <s v="C.07775"/>
    <m/>
    <s v="SALWAN FAQIH"/>
    <m/>
    <s v="WAHYU PRATAMA"/>
    <m/>
    <s v="PENJUALAN HANDPHONE"/>
    <m/>
    <x v="3"/>
    <m/>
    <s v="N/A"/>
    <m/>
    <x v="5"/>
    <m/>
    <s v="WAHYU PRATAMA"/>
    <m/>
    <s v="REPAIR"/>
    <m/>
    <s v="XIAOMI"/>
    <m/>
    <s v="poco c85"/>
    <m/>
    <s v="106760"/>
    <m/>
    <s v="XIAOMI POCO C85 6/128"/>
    <m/>
    <n v="1494800"/>
    <m/>
    <n v="1"/>
    <m/>
    <n v="1850000"/>
    <m/>
    <n v="1850000"/>
    <m/>
    <m/>
    <m/>
    <s v="N/A"/>
  </r>
  <r>
    <m/>
    <x v="15"/>
    <m/>
    <s v="MF-FP.25041"/>
    <m/>
    <s v="MF-ST.22540"/>
    <m/>
    <d v="2026-05-09T00:00:00"/>
    <m/>
    <s v="Umum"/>
    <m/>
    <s v="C.13230"/>
    <m/>
    <s v="ANDIKA PRATAMA"/>
    <m/>
    <s v="WAHYU PRATAMA"/>
    <m/>
    <s v="SERVICE HANDPHONE"/>
    <m/>
    <x v="0"/>
    <m/>
    <s v="EKO RISDIYANTORO JATIMULYA"/>
    <m/>
    <x v="2"/>
    <m/>
    <s v="WAHYU PRATAMA"/>
    <m/>
    <s v="LCD"/>
    <m/>
    <s v="XIAOMI"/>
    <m/>
    <s v="NOTE 10S"/>
    <m/>
    <s v="JASA71"/>
    <m/>
    <s v="JASA REPAIR"/>
    <m/>
    <n v="0"/>
    <m/>
    <n v="1"/>
    <m/>
    <n v="210000"/>
    <m/>
    <n v="210000"/>
    <m/>
    <m/>
    <m/>
    <s v="N/A"/>
  </r>
  <r>
    <m/>
    <x v="15"/>
    <m/>
    <s v="MF-FP.25041"/>
    <m/>
    <s v="MF-ST.22540"/>
    <m/>
    <d v="2026-05-09T00:00:00"/>
    <m/>
    <s v="Umum"/>
    <m/>
    <s v="C.13230"/>
    <m/>
    <s v="ANDIKA PRATAMA"/>
    <m/>
    <s v="WAHYU PRATAMA"/>
    <m/>
    <s v="SERVICE HANDPHONE"/>
    <m/>
    <x v="1"/>
    <m/>
    <s v="EKO RISDIYANTORO JATIMULYA"/>
    <m/>
    <x v="2"/>
    <m/>
    <s v="WAHYU PRATAMA"/>
    <m/>
    <s v="LCD"/>
    <m/>
    <s v="XIAOMI"/>
    <m/>
    <s v="NOTE 10S"/>
    <m/>
    <s v="100238"/>
    <m/>
    <s v="LCD.. XIO REDMI NOTE 10 4G/REDMI NOTE 10S B"/>
    <m/>
    <n v="140001"/>
    <m/>
    <n v="1"/>
    <m/>
    <n v="150000"/>
    <m/>
    <n v="150000"/>
    <m/>
    <m/>
    <m/>
    <s v="N/A"/>
  </r>
  <r>
    <m/>
    <x v="15"/>
    <m/>
    <s v="MF-FP.25041"/>
    <m/>
    <s v="MF-ST.22540"/>
    <m/>
    <d v="2026-05-09T00:00:00"/>
    <m/>
    <s v="Umum"/>
    <m/>
    <s v="C.13230"/>
    <m/>
    <s v="ANDIKA PRATAMA"/>
    <m/>
    <s v="WAHYU PRATAMA"/>
    <m/>
    <s v="SERVICE HANDPHONE"/>
    <m/>
    <x v="2"/>
    <m/>
    <s v="EKO RISDIYANTORO JATIMULYA"/>
    <m/>
    <x v="2"/>
    <m/>
    <s v="WAHYU PRATAMA"/>
    <m/>
    <s v="LCD"/>
    <m/>
    <s v="XIAOMI"/>
    <m/>
    <s v="NOTE 10S"/>
    <m/>
    <s v="AKOR-014"/>
    <m/>
    <s v="ORAIMO CABLE TYPE-C 2A OCD-114C"/>
    <m/>
    <n v="15000"/>
    <m/>
    <n v="1"/>
    <m/>
    <n v="15000"/>
    <m/>
    <n v="15000"/>
    <m/>
    <m/>
    <m/>
    <s v="N/A"/>
  </r>
  <r>
    <m/>
    <x v="15"/>
    <m/>
    <s v="MF-FP.25041"/>
    <m/>
    <s v="MF-ST.22540"/>
    <m/>
    <d v="2026-05-09T00:00:00"/>
    <m/>
    <s v="Umum"/>
    <m/>
    <s v="C.13230"/>
    <m/>
    <s v="ANDIKA PRATAMA"/>
    <m/>
    <s v="WAHYU PRATAMA"/>
    <m/>
    <s v="SERVICE HANDPHONE"/>
    <m/>
    <x v="2"/>
    <m/>
    <s v="EKO RISDIYANTORO JATIMULYA"/>
    <m/>
    <x v="2"/>
    <m/>
    <s v="WAHYU PRATAMA"/>
    <m/>
    <s v="LCD"/>
    <m/>
    <s v="XIAOMI"/>
    <m/>
    <s v="NOTE 10S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15"/>
    <m/>
    <s v="MF-FP.25043"/>
    <m/>
    <s v="MF-ST.22548"/>
    <m/>
    <d v="2026-05-09T00:00:00"/>
    <m/>
    <s v="Umum"/>
    <m/>
    <s v="C.13234"/>
    <m/>
    <s v="GUGUN"/>
    <m/>
    <s v="HANIF"/>
    <m/>
    <s v="SERVICE HANDPHONE"/>
    <m/>
    <x v="1"/>
    <m/>
    <s v="YUVI NOFERIANTO"/>
    <m/>
    <x v="4"/>
    <m/>
    <s v="HANIF"/>
    <m/>
    <s v="BATERAI"/>
    <m/>
    <s v="REALME"/>
    <m/>
    <s v="relame 6"/>
    <m/>
    <s v="105773"/>
    <m/>
    <s v="BATER RLM 6 / RLM 6 PRO BLP757"/>
    <m/>
    <n v="124862.155388"/>
    <m/>
    <n v="1"/>
    <m/>
    <n v="150000"/>
    <m/>
    <n v="150000"/>
    <m/>
    <m/>
    <m/>
    <s v="N/A"/>
  </r>
  <r>
    <m/>
    <x v="15"/>
    <m/>
    <s v="MF-FP.25043"/>
    <m/>
    <s v="MF-ST.22548"/>
    <m/>
    <d v="2026-05-09T00:00:00"/>
    <m/>
    <s v="Umum"/>
    <m/>
    <s v="C.13234"/>
    <m/>
    <s v="GUGUN"/>
    <m/>
    <s v="HANIF"/>
    <m/>
    <s v="SERVICE HANDPHONE"/>
    <m/>
    <x v="2"/>
    <m/>
    <s v="YUVI NOFERIANTO"/>
    <m/>
    <x v="4"/>
    <m/>
    <s v="HANIF"/>
    <m/>
    <s v="BATERAI"/>
    <m/>
    <s v="REALME"/>
    <m/>
    <s v="relame 6"/>
    <m/>
    <s v="AKOR-014"/>
    <m/>
    <s v="ORAIMO CABLE TYPE-C 2A OCD-114C"/>
    <m/>
    <n v="15000"/>
    <m/>
    <n v="1"/>
    <m/>
    <n v="20000"/>
    <m/>
    <n v="20000"/>
    <m/>
    <m/>
    <m/>
    <s v="N/A"/>
  </r>
  <r>
    <m/>
    <x v="15"/>
    <m/>
    <s v="MF-FP.25042"/>
    <m/>
    <s v="MF-ST.22542"/>
    <m/>
    <d v="2026-05-09T00:00:00"/>
    <m/>
    <s v="Member Reguler"/>
    <m/>
    <s v="MJ1551"/>
    <m/>
    <s v="SUGIANTO"/>
    <m/>
    <s v="WAHYU PRATAMA"/>
    <m/>
    <s v="SERVICE HANDPHONE"/>
    <m/>
    <x v="0"/>
    <m/>
    <s v="EKO RISDIYANTORO JATIMULYA"/>
    <m/>
    <x v="2"/>
    <m/>
    <s v="WAHYU PRATAMA"/>
    <m/>
    <s v="REPAIR"/>
    <m/>
    <s v="SAMSUNG"/>
    <m/>
    <s v="A12"/>
    <m/>
    <s v="JASA71"/>
    <m/>
    <s v="JASA REPAIR"/>
    <m/>
    <n v="0"/>
    <m/>
    <n v="1"/>
    <m/>
    <n v="35000"/>
    <m/>
    <n v="35000"/>
    <m/>
    <s v="ANWAR RHAMDANI SALES"/>
    <m/>
    <s v="N/A"/>
  </r>
  <r>
    <m/>
    <x v="15"/>
    <m/>
    <s v="MF-FP.25042"/>
    <m/>
    <s v="MF-ST.22542"/>
    <m/>
    <d v="2026-05-09T00:00:00"/>
    <m/>
    <s v="Member Reguler"/>
    <m/>
    <s v="MJ1551"/>
    <m/>
    <s v="SUGIANTO"/>
    <m/>
    <s v="WAHYU PRATAMA"/>
    <m/>
    <s v="SERVICE HANDPHONE"/>
    <m/>
    <x v="2"/>
    <m/>
    <s v="EKO RISDIYANTORO JATIMULYA"/>
    <m/>
    <x v="2"/>
    <m/>
    <s v="WAHYU PRATAMA"/>
    <m/>
    <s v="REPAIR"/>
    <m/>
    <s v="SAMSUNG"/>
    <m/>
    <s v="A12"/>
    <m/>
    <s v="AKOR-014"/>
    <m/>
    <s v="ORAIMO CABLE TYPE-C 2A OCD-114C"/>
    <m/>
    <n v="15000"/>
    <m/>
    <n v="1"/>
    <m/>
    <n v="15000"/>
    <m/>
    <n v="15000"/>
    <m/>
    <s v="ANWAR RHAMDANI SALES"/>
    <m/>
    <s v="N/A"/>
  </r>
  <r>
    <m/>
    <x v="15"/>
    <m/>
    <s v="MF-FP.25046"/>
    <m/>
    <s v="MF-ST.22551"/>
    <m/>
    <d v="2026-05-09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XIAOMI"/>
    <m/>
    <s v="X6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15"/>
    <m/>
    <s v="MF-FP.25044"/>
    <m/>
    <s v="MF-ST.22517"/>
    <m/>
    <d v="2026-05-08T00:00:00"/>
    <m/>
    <s v="Umum"/>
    <m/>
    <s v="C.13225"/>
    <m/>
    <s v="ARIQ"/>
    <m/>
    <s v="HANIF"/>
    <m/>
    <s v="SERVICE HANDPHONE"/>
    <m/>
    <x v="2"/>
    <m/>
    <s v="EKO RISDIYANTORO JATIMULYA"/>
    <m/>
    <x v="2"/>
    <m/>
    <s v="HANIF"/>
    <m/>
    <s v="FLEXIBEL ON/OFF"/>
    <m/>
    <s v="XIAOMI"/>
    <m/>
    <s v="POCO F5"/>
    <m/>
    <s v="AKOR-014"/>
    <m/>
    <s v="ORAIMO CABLE TYPE-C 2A OCD-114C"/>
    <m/>
    <n v="15000"/>
    <m/>
    <n v="1"/>
    <m/>
    <n v="20000"/>
    <m/>
    <n v="20000"/>
    <m/>
    <m/>
    <m/>
    <s v="N/A"/>
  </r>
  <r>
    <m/>
    <x v="15"/>
    <m/>
    <s v="MF-FP.25043"/>
    <m/>
    <s v="MF-ST.22548"/>
    <m/>
    <d v="2026-05-09T00:00:00"/>
    <m/>
    <s v="Umum"/>
    <m/>
    <s v="C.13234"/>
    <m/>
    <s v="GUGUN"/>
    <m/>
    <s v="HANIF"/>
    <m/>
    <s v="SERVICE HANDPHONE"/>
    <m/>
    <x v="0"/>
    <m/>
    <s v="YUVI NOFERIANTO"/>
    <m/>
    <x v="4"/>
    <m/>
    <s v="HANIF"/>
    <m/>
    <s v="BATERAI"/>
    <m/>
    <s v="REALME"/>
    <m/>
    <s v="relame 6"/>
    <m/>
    <s v="JASA71"/>
    <m/>
    <s v="JASA REPAIR"/>
    <m/>
    <n v="0"/>
    <m/>
    <n v="1"/>
    <m/>
    <n v="130000"/>
    <m/>
    <n v="130000"/>
    <m/>
    <m/>
    <m/>
    <s v="N/A"/>
  </r>
  <r>
    <m/>
    <x v="15"/>
    <m/>
    <s v="MF-FP.25044"/>
    <m/>
    <s v="MF-ST.22517"/>
    <m/>
    <d v="2026-05-08T00:00:00"/>
    <m/>
    <s v="Umum"/>
    <m/>
    <s v="C.13225"/>
    <m/>
    <s v="ARIQ"/>
    <m/>
    <s v="HANIF"/>
    <m/>
    <s v="SERVICE HANDPHONE"/>
    <m/>
    <x v="0"/>
    <m/>
    <s v="EKO RISDIYANTORO JATIMULYA"/>
    <m/>
    <x v="2"/>
    <m/>
    <s v="HANIF"/>
    <m/>
    <s v="FLEXIBEL ON/OFF"/>
    <m/>
    <s v="XIAOMI"/>
    <m/>
    <s v="POCO F5"/>
    <m/>
    <s v="JASA71"/>
    <m/>
    <s v="JASA REPAIR"/>
    <m/>
    <n v="0"/>
    <m/>
    <n v="1"/>
    <m/>
    <n v="150000"/>
    <m/>
    <n v="150000"/>
    <m/>
    <m/>
    <m/>
    <s v="N/A"/>
  </r>
  <r>
    <m/>
    <x v="15"/>
    <m/>
    <s v="MF-FP.25044"/>
    <m/>
    <s v="MF-ST.22517"/>
    <m/>
    <d v="2026-05-08T00:00:00"/>
    <m/>
    <s v="Umum"/>
    <m/>
    <s v="C.13225"/>
    <m/>
    <s v="ARIQ"/>
    <m/>
    <s v="HANIF"/>
    <m/>
    <s v="SERVICE HANDPHONE"/>
    <m/>
    <x v="1"/>
    <m/>
    <s v="EKO RISDIYANTORO JATIMULYA"/>
    <m/>
    <x v="2"/>
    <m/>
    <s v="HANIF"/>
    <m/>
    <s v="FLEXIBEL ON/OFF"/>
    <m/>
    <s v="XIAOMI"/>
    <m/>
    <s v="POCO F5"/>
    <m/>
    <s v="107258"/>
    <m/>
    <s v="FLFNG XIO POCO F5"/>
    <m/>
    <n v="53088.235293999998"/>
    <m/>
    <n v="1"/>
    <m/>
    <n v="80000"/>
    <m/>
    <n v="80000"/>
    <m/>
    <m/>
    <m/>
    <s v="N/A"/>
  </r>
  <r>
    <m/>
    <x v="15"/>
    <m/>
    <s v="MF-FP.25045"/>
    <m/>
    <s v="MF-ST.22550"/>
    <m/>
    <d v="2026-05-09T00:00:00"/>
    <m/>
    <s v="Umum"/>
    <m/>
    <s v="C.00000"/>
    <m/>
    <s v="Pelanggan Umum"/>
    <m/>
    <s v="HANIF"/>
    <m/>
    <s v="SERVICE HANDPHONE"/>
    <m/>
    <x v="0"/>
    <m/>
    <s v="ARI MARWAN"/>
    <m/>
    <x v="0"/>
    <m/>
    <s v="HANIF"/>
    <m/>
    <s v="REPAIR"/>
    <m/>
    <s v="BELUM ADA MERK"/>
    <m/>
    <s v="N/A"/>
    <m/>
    <s v="JASA71"/>
    <m/>
    <s v="JASA REPAIR"/>
    <m/>
    <n v="0"/>
    <m/>
    <n v="1"/>
    <m/>
    <n v="35000"/>
    <m/>
    <n v="35000"/>
    <m/>
    <m/>
    <m/>
    <s v="N/A"/>
  </r>
  <r>
    <m/>
    <x v="15"/>
    <m/>
    <s v="MF-FP.25047"/>
    <m/>
    <s v="MF-ST.22489"/>
    <m/>
    <d v="2026-05-07T00:00:00"/>
    <m/>
    <s v="Member Reguler"/>
    <m/>
    <s v="C.13211"/>
    <m/>
    <s v="ILHAM"/>
    <m/>
    <s v="Achmad Indrawanto"/>
    <m/>
    <s v="SERVICE LAPTOP"/>
    <m/>
    <x v="1"/>
    <m/>
    <s v="ABDUL MUNAJAT"/>
    <m/>
    <x v="3"/>
    <m/>
    <s v="HANIF"/>
    <m/>
    <s v="REPAIR"/>
    <m/>
    <s v="ASUS"/>
    <m/>
    <s v="ASUS A407U"/>
    <m/>
    <s v="105640"/>
    <m/>
    <s v="VGEN SSD SATA III PLATINUM 128GB"/>
    <m/>
    <n v="461871.25845700002"/>
    <m/>
    <n v="1"/>
    <m/>
    <n v="580000"/>
    <m/>
    <n v="580000"/>
    <m/>
    <s v="Achmad Indrawanto"/>
    <m/>
    <s v="N/A"/>
  </r>
  <r>
    <m/>
    <x v="15"/>
    <m/>
    <s v="MF-FP.25047"/>
    <m/>
    <s v="MF-ST.22489"/>
    <m/>
    <d v="2026-05-07T00:00:00"/>
    <m/>
    <s v="Member Reguler"/>
    <m/>
    <s v="C.13211"/>
    <m/>
    <s v="ILHAM"/>
    <m/>
    <s v="Achmad Indrawanto"/>
    <m/>
    <s v="SERVICE LAPTOP"/>
    <m/>
    <x v="0"/>
    <m/>
    <s v="ABDUL MUNAJAT"/>
    <m/>
    <x v="3"/>
    <m/>
    <s v="HANIF"/>
    <m/>
    <s v="REPAIR"/>
    <m/>
    <s v="ASUS"/>
    <m/>
    <s v="ASUS A407U"/>
    <m/>
    <s v="JASA71"/>
    <m/>
    <s v="JASA REPAIR"/>
    <m/>
    <n v="0"/>
    <m/>
    <n v="1"/>
    <m/>
    <n v="350000"/>
    <m/>
    <n v="350000"/>
    <m/>
    <s v="Achmad Indrawanto"/>
    <m/>
    <s v="N/A"/>
  </r>
  <r>
    <m/>
    <x v="15"/>
    <m/>
    <s v="MF-FP.25047"/>
    <m/>
    <s v="MF-ST.22489"/>
    <m/>
    <d v="2026-05-07T00:00:00"/>
    <m/>
    <s v="Member Reguler"/>
    <m/>
    <s v="C.13211"/>
    <m/>
    <s v="ILHAM"/>
    <m/>
    <s v="Achmad Indrawanto"/>
    <m/>
    <s v="SERVICE LAPTOP"/>
    <m/>
    <x v="2"/>
    <m/>
    <s v="ABDUL MUNAJAT"/>
    <m/>
    <x v="3"/>
    <m/>
    <s v="HANIF"/>
    <m/>
    <s v="REPAIR"/>
    <m/>
    <s v="ASUS"/>
    <m/>
    <s v="ASUS A407U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15"/>
    <m/>
    <s v="MF-FP.25048"/>
    <m/>
    <s v="MF-ST.22552"/>
    <m/>
    <d v="2026-05-09T00:00:00"/>
    <m/>
    <s v="Member Reguler"/>
    <m/>
    <s v="C.11404"/>
    <m/>
    <s v="PAK ZUL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ROBOT KM2700"/>
    <m/>
    <s v="100064"/>
    <m/>
    <s v="ROBOT MOUSEPAD RP01"/>
    <m/>
    <n v="8000"/>
    <m/>
    <n v="1"/>
    <m/>
    <n v="15000"/>
    <m/>
    <n v="15000"/>
    <m/>
    <s v="Achmad Indrawanto"/>
    <m/>
    <s v="N/A"/>
  </r>
  <r>
    <m/>
    <x v="15"/>
    <m/>
    <s v="MF-FP.25048"/>
    <m/>
    <s v="MF-ST.22552"/>
    <m/>
    <d v="2026-05-09T00:00:00"/>
    <m/>
    <s v="Member Reguler"/>
    <m/>
    <s v="C.11404"/>
    <m/>
    <s v="PAK ZUL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ROBOT KM2700"/>
    <m/>
    <s v="106834"/>
    <m/>
    <s v="ROBOT KEYBOARD &amp; MOUSE SUIT KM2700"/>
    <m/>
    <n v="110000"/>
    <m/>
    <n v="1"/>
    <m/>
    <n v="150000"/>
    <m/>
    <n v="150000"/>
    <m/>
    <s v="Achmad Indrawanto"/>
    <m/>
    <s v="N/A"/>
  </r>
  <r>
    <m/>
    <x v="15"/>
    <m/>
    <s v="MF-FP.25049"/>
    <m/>
    <s v="MF-ST.22553"/>
    <m/>
    <d v="2026-05-09T00:00:00"/>
    <m/>
    <s v="Member Reguler"/>
    <m/>
    <s v="C.12844"/>
    <m/>
    <s v="SRI NURFI"/>
    <m/>
    <s v="HANIF"/>
    <m/>
    <s v="SERVICE HANDPHONE"/>
    <m/>
    <x v="0"/>
    <m/>
    <s v="YUVI NOFERIANTO"/>
    <m/>
    <x v="4"/>
    <m/>
    <s v="HANIF"/>
    <m/>
    <s v="HARDWARE"/>
    <m/>
    <s v="XIAOMI"/>
    <m/>
    <s v="Poco m5"/>
    <m/>
    <s v="JASA71"/>
    <m/>
    <s v="JASA REPAIR"/>
    <m/>
    <n v="0"/>
    <m/>
    <n v="1"/>
    <m/>
    <n v="110000"/>
    <m/>
    <n v="110000"/>
    <m/>
    <s v="Achmad Indrawanto"/>
    <m/>
    <s v="N/A"/>
  </r>
  <r>
    <m/>
    <x v="15"/>
    <m/>
    <s v="MF-FP.25049"/>
    <m/>
    <s v="MF-ST.22553"/>
    <m/>
    <d v="2026-05-09T00:00:00"/>
    <m/>
    <s v="Member Reguler"/>
    <m/>
    <s v="C.12844"/>
    <m/>
    <s v="SRI NURFI"/>
    <m/>
    <s v="HANIF"/>
    <m/>
    <s v="SERVICE HANDPHONE"/>
    <m/>
    <x v="1"/>
    <m/>
    <s v="YUVI NOFERIANTO"/>
    <m/>
    <x v="4"/>
    <m/>
    <s v="HANIF"/>
    <m/>
    <s v="HARDWARE"/>
    <m/>
    <s v="XIAOMI"/>
    <m/>
    <s v="Poco m5"/>
    <m/>
    <s v="103699"/>
    <m/>
    <s v="FLOFV XIO REDMI 10 5G/NOTE 11E/POCO M5"/>
    <m/>
    <n v="9170.2932830000009"/>
    <m/>
    <n v="1"/>
    <m/>
    <n v="20000"/>
    <m/>
    <n v="20000"/>
    <m/>
    <s v="Achmad Indrawanto"/>
    <m/>
    <s v="N/A"/>
  </r>
  <r>
    <m/>
    <x v="15"/>
    <m/>
    <s v="MF-FP.25049"/>
    <m/>
    <s v="MF-ST.22553"/>
    <m/>
    <d v="2026-05-09T00:00:00"/>
    <m/>
    <s v="Member Reguler"/>
    <m/>
    <s v="C.12844"/>
    <m/>
    <s v="SRI NURFI"/>
    <m/>
    <s v="HANIF"/>
    <m/>
    <s v="SERVICE HANDPHONE"/>
    <m/>
    <x v="2"/>
    <m/>
    <s v="YUVI NOFERIANTO"/>
    <m/>
    <x v="4"/>
    <m/>
    <s v="HANIF"/>
    <m/>
    <s v="HARDWARE"/>
    <m/>
    <s v="XIAOMI"/>
    <m/>
    <s v="Poco m5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15"/>
    <m/>
    <s v="MF-FP.25050"/>
    <m/>
    <s v="MF-ST.22391"/>
    <m/>
    <d v="2026-05-03T00:00:00"/>
    <m/>
    <s v="Member Reguler"/>
    <m/>
    <s v="C.13166"/>
    <m/>
    <s v="HANANG"/>
    <m/>
    <s v="Achmad Indrawanto"/>
    <m/>
    <s v="SERVICE HANDPHONE"/>
    <m/>
    <x v="1"/>
    <m/>
    <s v="ARI MARWAN"/>
    <m/>
    <x v="0"/>
    <m/>
    <s v="Achmad Indrawanto"/>
    <m/>
    <s v="REPAIR"/>
    <m/>
    <s v="REALME"/>
    <m/>
    <s v="XT"/>
    <m/>
    <s v="105625"/>
    <m/>
    <s v="PERNIK TBL O/F + VLM RLM XT"/>
    <m/>
    <n v="5000"/>
    <m/>
    <n v="1"/>
    <m/>
    <n v="20000"/>
    <m/>
    <n v="20000"/>
    <m/>
    <s v="Achmad Indrawanto"/>
    <m/>
    <s v="N/A"/>
  </r>
  <r>
    <m/>
    <x v="15"/>
    <m/>
    <s v="MF-FP.25050"/>
    <m/>
    <s v="MF-ST.22391"/>
    <m/>
    <d v="2026-05-03T00:00:00"/>
    <m/>
    <s v="Member Reguler"/>
    <m/>
    <s v="C.13166"/>
    <m/>
    <s v="HANANG"/>
    <m/>
    <s v="Achmad Indrawanto"/>
    <m/>
    <s v="SERVICE HANDPHONE"/>
    <m/>
    <x v="2"/>
    <m/>
    <s v="ARI MARWAN"/>
    <m/>
    <x v="0"/>
    <m/>
    <s v="Achmad Indrawanto"/>
    <m/>
    <s v="REPAIR"/>
    <m/>
    <s v="REALME"/>
    <m/>
    <s v="XT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5"/>
    <m/>
    <s v="MF-FP.25050"/>
    <m/>
    <s v="MF-ST.22391"/>
    <m/>
    <d v="2026-05-03T00:00:00"/>
    <m/>
    <s v="Member Reguler"/>
    <m/>
    <s v="C.13166"/>
    <m/>
    <s v="HANANG"/>
    <m/>
    <s v="Achmad Indrawanto"/>
    <m/>
    <s v="SERVICE HANDPHONE"/>
    <m/>
    <x v="0"/>
    <m/>
    <s v="ARI MARWAN"/>
    <m/>
    <x v="0"/>
    <m/>
    <s v="Achmad Indrawanto"/>
    <m/>
    <s v="REPAIR"/>
    <m/>
    <s v="REALME"/>
    <m/>
    <s v="XT"/>
    <m/>
    <s v="JASA71"/>
    <m/>
    <s v="JASA REPAIR"/>
    <m/>
    <n v="0"/>
    <m/>
    <n v="1"/>
    <m/>
    <n v="190000"/>
    <m/>
    <n v="190000"/>
    <m/>
    <s v="Achmad Indrawanto"/>
    <m/>
    <s v="N/A"/>
  </r>
  <r>
    <m/>
    <x v="15"/>
    <m/>
    <s v="MF-FP.25050"/>
    <m/>
    <s v="MF-ST.22391"/>
    <m/>
    <d v="2026-05-03T00:00:00"/>
    <m/>
    <s v="Member Reguler"/>
    <m/>
    <s v="C.13166"/>
    <m/>
    <s v="HANANG"/>
    <m/>
    <s v="Achmad Indrawanto"/>
    <m/>
    <s v="SERVICE HANDPHONE"/>
    <m/>
    <x v="1"/>
    <m/>
    <s v="ARI MARWAN"/>
    <m/>
    <x v="0"/>
    <m/>
    <s v="Achmad Indrawanto"/>
    <m/>
    <s v="REPAIR"/>
    <m/>
    <s v="REALME"/>
    <m/>
    <s v="XT"/>
    <m/>
    <s v="107243"/>
    <m/>
    <s v="FLONF RLM XT"/>
    <m/>
    <n v="7500"/>
    <m/>
    <n v="1"/>
    <m/>
    <n v="15000"/>
    <m/>
    <n v="15000"/>
    <m/>
    <s v="Achmad Indrawanto"/>
    <m/>
    <s v="N/A"/>
  </r>
  <r>
    <m/>
    <x v="15"/>
    <m/>
    <s v="MF-FP.25051"/>
    <m/>
    <s v="MF-ST.22543"/>
    <m/>
    <d v="2026-05-09T00:00:00"/>
    <m/>
    <s v="Umum"/>
    <m/>
    <s v="C.13231"/>
    <m/>
    <s v="ALFIN"/>
    <m/>
    <s v="WAHYU PRATAMA"/>
    <m/>
    <s v="SERVICE LAPTOP"/>
    <m/>
    <x v="0"/>
    <m/>
    <s v="ABDUL MUNAJAT"/>
    <m/>
    <x v="3"/>
    <m/>
    <s v="HANIF"/>
    <m/>
    <s v="SOFTWARE"/>
    <m/>
    <s v="ACER"/>
    <m/>
    <s v="ASPIRE E1"/>
    <m/>
    <s v="JASA71"/>
    <m/>
    <s v="JASA REPAIR"/>
    <m/>
    <n v="0"/>
    <m/>
    <n v="1"/>
    <m/>
    <n v="230000"/>
    <m/>
    <n v="230000"/>
    <m/>
    <m/>
    <m/>
    <s v="N/A"/>
  </r>
  <r>
    <m/>
    <x v="15"/>
    <m/>
    <s v="MF-FP.25051"/>
    <m/>
    <s v="MF-ST.22543"/>
    <m/>
    <d v="2026-05-09T00:00:00"/>
    <m/>
    <s v="Umum"/>
    <m/>
    <s v="C.13231"/>
    <m/>
    <s v="ALFIN"/>
    <m/>
    <s v="WAHYU PRATAMA"/>
    <m/>
    <s v="SERVICE LAPTOP"/>
    <m/>
    <x v="2"/>
    <m/>
    <s v="ABDUL MUNAJAT"/>
    <m/>
    <x v="3"/>
    <m/>
    <s v="HANIF"/>
    <m/>
    <s v="SOFTWARE"/>
    <m/>
    <s v="ACER"/>
    <m/>
    <s v="ASPIRE E1"/>
    <m/>
    <s v="AKOR-014"/>
    <m/>
    <s v="ORAIMO CABLE TYPE-C 2A OCD-114C"/>
    <m/>
    <n v="15000"/>
    <m/>
    <n v="1"/>
    <m/>
    <n v="20000"/>
    <m/>
    <n v="20000"/>
    <m/>
    <m/>
    <m/>
    <s v="N/A"/>
  </r>
  <r>
    <m/>
    <x v="15"/>
    <m/>
    <s v="MF-FP.25052"/>
    <m/>
    <s v="MF-ST.22426"/>
    <m/>
    <d v="2026-05-04T00:00:00"/>
    <m/>
    <s v="Member Reguler"/>
    <m/>
    <s v="C.13181"/>
    <m/>
    <s v="DINAR"/>
    <m/>
    <s v="Achmad Indrawanto"/>
    <m/>
    <s v="SERVICE CPU"/>
    <m/>
    <x v="0"/>
    <m/>
    <s v="ABDUL MUNAJAT"/>
    <m/>
    <x v="3"/>
    <m/>
    <s v="HANIF"/>
    <m/>
    <s v="MATI TOTAL"/>
    <m/>
    <s v="BELUM ADA MERK"/>
    <m/>
    <s v="CPU HITAM BESAR"/>
    <m/>
    <s v="JASA71"/>
    <m/>
    <s v="JASA REPAIR"/>
    <m/>
    <n v="0"/>
    <m/>
    <n v="1"/>
    <m/>
    <n v="330000"/>
    <m/>
    <n v="330000"/>
    <m/>
    <s v="Achmad Indrawanto"/>
    <m/>
    <s v="N/A"/>
  </r>
  <r>
    <m/>
    <x v="15"/>
    <m/>
    <s v="MF-FP.25052"/>
    <m/>
    <s v="MF-ST.22426"/>
    <m/>
    <d v="2026-05-04T00:00:00"/>
    <m/>
    <s v="Member Reguler"/>
    <m/>
    <s v="C.13181"/>
    <m/>
    <s v="DINAR"/>
    <m/>
    <s v="Achmad Indrawanto"/>
    <m/>
    <s v="SERVICE CPU"/>
    <m/>
    <x v="2"/>
    <m/>
    <s v="ABDUL MUNAJAT"/>
    <m/>
    <x v="3"/>
    <m/>
    <s v="HANIF"/>
    <m/>
    <s v="MATI TOTAL"/>
    <m/>
    <s v="BELUM ADA MERK"/>
    <m/>
    <s v="CPU HITAM BESAR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15"/>
    <m/>
    <s v="MF-FP.25054"/>
    <m/>
    <s v="MF-ST.22522"/>
    <m/>
    <d v="2026-05-08T00:00:00"/>
    <m/>
    <s v="Umum"/>
    <m/>
    <s v="C.13226"/>
    <m/>
    <s v="PRAYOGA NUR SETIAWAN"/>
    <m/>
    <s v="HANIF"/>
    <m/>
    <s v="SERVICE LAPTOP"/>
    <m/>
    <x v="0"/>
    <m/>
    <s v="ABDUL MUNAJAT"/>
    <m/>
    <x v="3"/>
    <m/>
    <s v="HANIF"/>
    <m/>
    <s v="HARDWARE"/>
    <m/>
    <s v="LENOVO"/>
    <m/>
    <s v="LENOVO IDEAPAD 310"/>
    <m/>
    <s v="JASA71"/>
    <m/>
    <s v="JASA REPAIR"/>
    <m/>
    <n v="0"/>
    <m/>
    <n v="1"/>
    <m/>
    <n v="1050000"/>
    <m/>
    <n v="1050000"/>
    <m/>
    <m/>
    <m/>
    <s v="N/A"/>
  </r>
  <r>
    <m/>
    <x v="15"/>
    <m/>
    <s v="MF-FP.25054"/>
    <m/>
    <s v="MF-ST.22522"/>
    <m/>
    <d v="2026-05-08T00:00:00"/>
    <m/>
    <s v="Umum"/>
    <m/>
    <s v="C.13226"/>
    <m/>
    <s v="PRAYOGA NUR SETIAWAN"/>
    <m/>
    <s v="HANIF"/>
    <m/>
    <s v="SERVICE LAPTOP"/>
    <m/>
    <x v="1"/>
    <m/>
    <s v="ABDUL MUNAJAT"/>
    <m/>
    <x v="3"/>
    <m/>
    <s v="HANIF"/>
    <m/>
    <s v="HARDWARE"/>
    <m/>
    <s v="LENOVO"/>
    <m/>
    <s v="LENOVO IDEAPAD 310"/>
    <m/>
    <s v="101985"/>
    <m/>
    <s v="KYBRD LNV IDEAPAD V310-14isk V110-14AST V310-14IKB E42-80 110-14 310-14"/>
    <m/>
    <n v="65000"/>
    <m/>
    <n v="1"/>
    <m/>
    <n v="100000"/>
    <m/>
    <n v="100000"/>
    <m/>
    <m/>
    <m/>
    <s v="N/A"/>
  </r>
  <r>
    <m/>
    <x v="15"/>
    <m/>
    <s v="MF-FP.25054"/>
    <m/>
    <s v="MF-ST.22522"/>
    <m/>
    <d v="2026-05-08T00:00:00"/>
    <m/>
    <s v="Umum"/>
    <m/>
    <s v="C.13226"/>
    <m/>
    <s v="PRAYOGA NUR SETIAWAN"/>
    <m/>
    <s v="HANIF"/>
    <m/>
    <s v="SERVICE LAPTOP"/>
    <m/>
    <x v="1"/>
    <m/>
    <s v="ABDUL MUNAJAT"/>
    <m/>
    <x v="3"/>
    <m/>
    <s v="HANIF"/>
    <m/>
    <s v="HARDWARE"/>
    <m/>
    <s v="LENOVO"/>
    <m/>
    <s v="LENOVO IDEAPAD 310"/>
    <m/>
    <s v="105739"/>
    <m/>
    <s v="VGEN SSD SATA III RESCUE 256GB"/>
    <m/>
    <n v="643887.67570300004"/>
    <m/>
    <n v="1"/>
    <m/>
    <n v="830000"/>
    <m/>
    <n v="830000"/>
    <m/>
    <m/>
    <m/>
    <s v="N/A"/>
  </r>
  <r>
    <m/>
    <x v="15"/>
    <m/>
    <s v="MF-FP.25054"/>
    <m/>
    <s v="MF-ST.22522"/>
    <m/>
    <d v="2026-05-08T00:00:00"/>
    <m/>
    <s v="Umum"/>
    <m/>
    <s v="C.13226"/>
    <m/>
    <s v="PRAYOGA NUR SETIAWAN"/>
    <m/>
    <s v="HANIF"/>
    <m/>
    <s v="SERVICE LAPTOP"/>
    <m/>
    <x v="2"/>
    <m/>
    <s v="ABDUL MUNAJAT"/>
    <m/>
    <x v="3"/>
    <m/>
    <s v="HANIF"/>
    <m/>
    <s v="HARDWARE"/>
    <m/>
    <s v="LENOVO"/>
    <m/>
    <s v="LENOVO IDEAPAD 310"/>
    <m/>
    <s v="AKOR-014"/>
    <m/>
    <s v="ORAIMO CABLE TYPE-C 2A OCD-114C"/>
    <m/>
    <n v="15000"/>
    <m/>
    <n v="1"/>
    <m/>
    <n v="20000"/>
    <m/>
    <n v="20000"/>
    <m/>
    <m/>
    <m/>
    <s v="N/A"/>
  </r>
  <r>
    <m/>
    <x v="15"/>
    <m/>
    <s v="MF-FP.25055"/>
    <m/>
    <s v="MF-ST.22533"/>
    <m/>
    <d v="2026-05-09T00:00:00"/>
    <m/>
    <s v="Umum"/>
    <m/>
    <s v="C.10508"/>
    <m/>
    <s v="SISKA"/>
    <m/>
    <s v="WAHYU PRATAMA"/>
    <m/>
    <s v="SERVICE HANDPHONE"/>
    <m/>
    <x v="0"/>
    <m/>
    <s v="EKO RISDIYANTORO JATIMULYA"/>
    <m/>
    <x v="2"/>
    <m/>
    <s v="Achmad Indrawanto"/>
    <m/>
    <s v="REPAIR"/>
    <m/>
    <s v="SAMSUNG"/>
    <m/>
    <s v="A71"/>
    <m/>
    <s v="JASA71"/>
    <m/>
    <s v="JASA REPAIR"/>
    <m/>
    <n v="0"/>
    <m/>
    <n v="1"/>
    <m/>
    <n v="405000"/>
    <m/>
    <n v="405000"/>
    <m/>
    <s v="Achmad Indrawanto"/>
    <m/>
    <s v="N/A"/>
  </r>
  <r>
    <m/>
    <x v="15"/>
    <m/>
    <s v="MF-FP.25055"/>
    <m/>
    <s v="MF-ST.22533"/>
    <m/>
    <d v="2026-05-09T00:00:00"/>
    <m/>
    <s v="Umum"/>
    <m/>
    <s v="C.10508"/>
    <m/>
    <s v="SISKA"/>
    <m/>
    <s v="WAHYU PRATAMA"/>
    <m/>
    <s v="SERVICE HANDPHONE"/>
    <m/>
    <x v="1"/>
    <m/>
    <s v="EKO RISDIYANTORO JATIMULYA"/>
    <m/>
    <x v="2"/>
    <m/>
    <s v="Achmad Indrawanto"/>
    <m/>
    <s v="REPAIR"/>
    <m/>
    <s v="SAMSUNG"/>
    <m/>
    <s v="A71"/>
    <m/>
    <s v="105911"/>
    <m/>
    <s v="KNLCD SAM A52/A52S/M52 78 PIN"/>
    <m/>
    <n v="5098.4699620000001"/>
    <m/>
    <n v="1"/>
    <m/>
    <n v="20000"/>
    <m/>
    <n v="20000"/>
    <m/>
    <s v="Achmad Indrawanto"/>
    <m/>
    <s v="N/A"/>
  </r>
  <r>
    <m/>
    <x v="15"/>
    <m/>
    <s v="MF-FP.25055"/>
    <m/>
    <s v="MF-ST.22533"/>
    <m/>
    <d v="2026-05-09T00:00:00"/>
    <m/>
    <s v="Umum"/>
    <m/>
    <s v="C.10508"/>
    <m/>
    <s v="SISKA"/>
    <m/>
    <s v="WAHYU PRATAMA"/>
    <m/>
    <s v="SERVICE HANDPHONE"/>
    <m/>
    <x v="2"/>
    <m/>
    <s v="EKO RISDIYANTORO JATIMULYA"/>
    <m/>
    <x v="2"/>
    <m/>
    <s v="Achmad Indrawanto"/>
    <m/>
    <s v="REPAIR"/>
    <m/>
    <s v="SAMSUNG"/>
    <m/>
    <s v="A71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5"/>
    <m/>
    <s v="MF-FP.25058"/>
    <m/>
    <s v="MF-ST.22560"/>
    <m/>
    <d v="2026-05-09T00:00:00"/>
    <m/>
    <s v="Umum"/>
    <m/>
    <s v="C.13239"/>
    <m/>
    <s v="TOMY"/>
    <m/>
    <s v="HANIF"/>
    <m/>
    <s v="SERVICE HANDPHONE"/>
    <m/>
    <x v="2"/>
    <m/>
    <s v="ARI MARWAN"/>
    <m/>
    <x v="0"/>
    <m/>
    <s v="HANIF"/>
    <m/>
    <s v="HARDWARE"/>
    <m/>
    <s v="REALME"/>
    <m/>
    <s v="GT MASTER"/>
    <m/>
    <s v="AKOR-014"/>
    <m/>
    <s v="ORAIMO CABLE TYPE-C 2A OCD-114C"/>
    <m/>
    <n v="15000"/>
    <m/>
    <n v="1"/>
    <m/>
    <n v="20000"/>
    <m/>
    <n v="20000"/>
    <m/>
    <m/>
    <m/>
    <s v="N/A"/>
  </r>
  <r>
    <m/>
    <x v="15"/>
    <m/>
    <s v="MF-FP.25056"/>
    <m/>
    <s v="MF-ST.22559"/>
    <m/>
    <d v="2026-05-09T00:00:00"/>
    <m/>
    <s v="Umum"/>
    <m/>
    <s v="C.12301"/>
    <m/>
    <s v="RIDWAN"/>
    <m/>
    <s v="Achmad Indrawanto"/>
    <m/>
    <s v="SERVICE HANDPHONE"/>
    <m/>
    <x v="0"/>
    <m/>
    <s v="YUVI NOFERIANTO"/>
    <m/>
    <x v="4"/>
    <m/>
    <s v="Achmad Indrawanto"/>
    <m/>
    <s v="REPAIR"/>
    <m/>
    <s v="XIAOMI"/>
    <m/>
    <s v="MI 9"/>
    <m/>
    <s v="JASA71"/>
    <m/>
    <s v="JASA REPAIR"/>
    <m/>
    <n v="0"/>
    <m/>
    <n v="1"/>
    <m/>
    <n v="75000"/>
    <m/>
    <n v="75000"/>
    <m/>
    <m/>
    <m/>
    <s v="N/A"/>
  </r>
  <r>
    <m/>
    <x v="15"/>
    <m/>
    <s v="MF-FP.25056"/>
    <m/>
    <s v="MF-ST.22559"/>
    <m/>
    <d v="2026-05-09T00:00:00"/>
    <m/>
    <s v="Umum"/>
    <m/>
    <s v="C.12301"/>
    <m/>
    <s v="RIDWAN"/>
    <m/>
    <s v="Achmad Indrawanto"/>
    <m/>
    <s v="SERVICE HANDPHONE"/>
    <m/>
    <x v="2"/>
    <m/>
    <s v="YUVI NOFERIANTO"/>
    <m/>
    <x v="4"/>
    <m/>
    <s v="Achmad Indrawanto"/>
    <m/>
    <s v="REPAIR"/>
    <m/>
    <s v="XIAOMI"/>
    <m/>
    <s v="MI 9"/>
    <m/>
    <s v="AKOR-014"/>
    <m/>
    <s v="ORAIMO CABLE TYPE-C 2A OCD-114C"/>
    <m/>
    <n v="15000"/>
    <m/>
    <n v="1"/>
    <m/>
    <n v="25000"/>
    <m/>
    <n v="25000"/>
    <m/>
    <m/>
    <m/>
    <s v="N/A"/>
  </r>
  <r>
    <m/>
    <x v="15"/>
    <m/>
    <s v="MF-FP.25057"/>
    <m/>
    <s v="MF-ST.22538"/>
    <m/>
    <d v="2026-05-09T00:00:00"/>
    <m/>
    <s v="Umum"/>
    <m/>
    <s v="C.13229"/>
    <m/>
    <s v="PT PANCANATURE INTERNASIONAL"/>
    <m/>
    <s v="WAHYU PRATAMA"/>
    <m/>
    <s v="SERVICE LAPTOP"/>
    <m/>
    <x v="0"/>
    <m/>
    <s v="ABDUL MUNAJAT"/>
    <m/>
    <x v="3"/>
    <m/>
    <s v="HANIF"/>
    <m/>
    <s v="ENGSEL"/>
    <m/>
    <s v="LENOVO"/>
    <m/>
    <s v="Lenovo Ideapad slim 1"/>
    <m/>
    <s v="JASA71"/>
    <m/>
    <s v="JASA REPAIR"/>
    <m/>
    <n v="0"/>
    <m/>
    <n v="1"/>
    <m/>
    <n v="780000"/>
    <m/>
    <n v="780000"/>
    <m/>
    <m/>
    <m/>
    <s v="N/A"/>
  </r>
  <r>
    <m/>
    <x v="15"/>
    <m/>
    <s v="MF-FP.25057"/>
    <m/>
    <s v="MF-ST.22538"/>
    <m/>
    <d v="2026-05-09T00:00:00"/>
    <m/>
    <s v="Umum"/>
    <m/>
    <s v="C.13229"/>
    <m/>
    <s v="PT PANCANATURE INTERNASIONAL"/>
    <m/>
    <s v="WAHYU PRATAMA"/>
    <m/>
    <s v="SERVICE LAPTOP"/>
    <m/>
    <x v="2"/>
    <m/>
    <s v="ABDUL MUNAJAT"/>
    <m/>
    <x v="3"/>
    <m/>
    <s v="HANIF"/>
    <m/>
    <s v="ENGSEL"/>
    <m/>
    <s v="LENOVO"/>
    <m/>
    <s v="Lenovo Ideapad slim 1"/>
    <m/>
    <s v="AKOR-014"/>
    <m/>
    <s v="ORAIMO CABLE TYPE-C 2A OCD-114C"/>
    <m/>
    <n v="15000"/>
    <m/>
    <n v="1"/>
    <m/>
    <n v="20000"/>
    <m/>
    <n v="20000"/>
    <m/>
    <m/>
    <m/>
    <s v="N/A"/>
  </r>
  <r>
    <m/>
    <x v="15"/>
    <m/>
    <s v="MF-FP.25058"/>
    <m/>
    <s v="MF-ST.22560"/>
    <m/>
    <d v="2026-05-09T00:00:00"/>
    <m/>
    <s v="Umum"/>
    <m/>
    <s v="C.13239"/>
    <m/>
    <s v="TOMY"/>
    <m/>
    <s v="HANIF"/>
    <m/>
    <s v="SERVICE HANDPHONE"/>
    <m/>
    <x v="0"/>
    <m/>
    <s v="ARI MARWAN"/>
    <m/>
    <x v="0"/>
    <m/>
    <s v="HANIF"/>
    <m/>
    <s v="HARDWARE"/>
    <m/>
    <s v="REALME"/>
    <m/>
    <s v="GT MASTER"/>
    <m/>
    <s v="JASA71"/>
    <m/>
    <s v="JASA REPAIR"/>
    <m/>
    <n v="0"/>
    <m/>
    <n v="1"/>
    <m/>
    <n v="110000"/>
    <m/>
    <n v="110000"/>
    <m/>
    <m/>
    <m/>
    <s v="N/A"/>
  </r>
  <r>
    <m/>
    <x v="15"/>
    <m/>
    <s v="MF-FP.25058"/>
    <m/>
    <s v="MF-ST.22560"/>
    <m/>
    <d v="2026-05-09T00:00:00"/>
    <m/>
    <s v="Umum"/>
    <m/>
    <s v="C.13239"/>
    <m/>
    <s v="TOMY"/>
    <m/>
    <s v="HANIF"/>
    <m/>
    <s v="SERVICE HANDPHONE"/>
    <m/>
    <x v="1"/>
    <m/>
    <s v="ARI MARWAN"/>
    <m/>
    <x v="0"/>
    <m/>
    <s v="HANIF"/>
    <m/>
    <s v="HARDWARE"/>
    <m/>
    <s v="REALME"/>
    <m/>
    <s v="GT MASTER"/>
    <m/>
    <s v="102498"/>
    <m/>
    <s v="PERNIK TBL O/F + VLM OPP RENO 5 4G/5G RENO 5F RENO 6"/>
    <m/>
    <n v="5978.951634"/>
    <m/>
    <n v="1"/>
    <m/>
    <n v="20000"/>
    <m/>
    <n v="20000"/>
    <m/>
    <m/>
    <m/>
    <s v="N/A"/>
  </r>
  <r>
    <m/>
    <x v="16"/>
    <m/>
    <s v="MF-FP.25060"/>
    <m/>
    <s v="MF-ST.22562"/>
    <m/>
    <d v="2026-05-10T00:00:00"/>
    <m/>
    <s v="Member Reguler"/>
    <m/>
    <s v="C.02797"/>
    <m/>
    <s v="ENDIEN SYAHRONI"/>
    <m/>
    <s v="Achmad Indrawanto"/>
    <m/>
    <s v="SERVICE HANDPHONE"/>
    <m/>
    <x v="2"/>
    <m/>
    <s v="ARI MARWAN"/>
    <m/>
    <x v="0"/>
    <m/>
    <s v="Achmad Indrawanto"/>
    <m/>
    <s v="LCD"/>
    <m/>
    <s v="OPPO"/>
    <m/>
    <s v="oppo a57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6"/>
    <m/>
    <s v="MF-FP.25060"/>
    <m/>
    <s v="MF-ST.22562"/>
    <m/>
    <d v="2026-05-10T00:00:00"/>
    <m/>
    <s v="Member Reguler"/>
    <m/>
    <s v="C.02797"/>
    <m/>
    <s v="ENDIEN SYAHRONI"/>
    <m/>
    <s v="Achmad Indrawanto"/>
    <m/>
    <s v="SERVICE HANDPHONE"/>
    <m/>
    <x v="0"/>
    <m/>
    <s v="ARI MARWAN"/>
    <m/>
    <x v="0"/>
    <m/>
    <s v="Achmad Indrawanto"/>
    <m/>
    <s v="LCD"/>
    <m/>
    <s v="OPPO"/>
    <m/>
    <s v="oppo a57"/>
    <m/>
    <s v="JASA71"/>
    <m/>
    <s v="JASA REPAIR"/>
    <m/>
    <n v="0"/>
    <m/>
    <n v="1"/>
    <m/>
    <n v="260000"/>
    <m/>
    <n v="260000"/>
    <m/>
    <s v="Achmad Indrawanto"/>
    <m/>
    <s v="N/A"/>
  </r>
  <r>
    <m/>
    <x v="16"/>
    <m/>
    <s v="MF-FP.25060"/>
    <m/>
    <s v="MF-ST.22562"/>
    <m/>
    <d v="2026-05-10T00:00:00"/>
    <m/>
    <s v="Member Reguler"/>
    <m/>
    <s v="C.02797"/>
    <m/>
    <s v="ENDIEN SYAHRONI"/>
    <m/>
    <s v="Achmad Indrawanto"/>
    <m/>
    <s v="SERVICE HANDPHONE"/>
    <m/>
    <x v="1"/>
    <m/>
    <s v="ARI MARWAN"/>
    <m/>
    <x v="0"/>
    <m/>
    <s v="Achmad Indrawanto"/>
    <m/>
    <s v="LCD"/>
    <m/>
    <s v="OPPO"/>
    <m/>
    <s v="oppo a57"/>
    <m/>
    <s v="101036"/>
    <m/>
    <s v="LCD.. OPP A57/A77/A77S/A78/A17/A17K/A18/A38K10 B"/>
    <m/>
    <n v="142972.23611100001"/>
    <m/>
    <n v="1"/>
    <m/>
    <n v="190000"/>
    <m/>
    <n v="190000"/>
    <m/>
    <s v="Achmad Indrawanto"/>
    <m/>
    <s v="N/A"/>
  </r>
  <r>
    <m/>
    <x v="16"/>
    <m/>
    <s v="MF-FP.25061"/>
    <m/>
    <s v="MF-ST.22561"/>
    <m/>
    <d v="2026-05-10T00:00:00"/>
    <m/>
    <s v="Member Reguler"/>
    <m/>
    <s v="C.06708"/>
    <m/>
    <s v="UJANG SUHERMAN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0025"/>
    <m/>
    <s v="VIVAN HYDROGEL BASIC CRYSTAL CLEAR VSP01T"/>
    <m/>
    <n v="11151.582562"/>
    <m/>
    <n v="1"/>
    <m/>
    <n v="75000"/>
    <m/>
    <n v="75000"/>
    <m/>
    <s v="Achmad Indrawanto"/>
    <m/>
    <s v="N/A"/>
  </r>
  <r>
    <m/>
    <x v="16"/>
    <m/>
    <s v="MF-FP.25062"/>
    <m/>
    <s v="MF-ST.22563"/>
    <m/>
    <d v="2026-05-10T00:00:00"/>
    <m/>
    <s v="Member Reguler"/>
    <m/>
    <s v="C.13240"/>
    <m/>
    <s v="SYIFA"/>
    <m/>
    <s v="Achmad Indrawanto"/>
    <m/>
    <s v="SERVICE HANDPHONE"/>
    <m/>
    <x v="0"/>
    <m/>
    <s v="ARI MARWAN"/>
    <m/>
    <x v="0"/>
    <m/>
    <s v="Achmad Indrawanto"/>
    <m/>
    <s v="REPAIR"/>
    <m/>
    <s v="SAMSUNG"/>
    <m/>
    <s v="SAMSUNG A21S"/>
    <m/>
    <s v="JASA71"/>
    <m/>
    <s v="JASA REPAIR"/>
    <m/>
    <n v="0"/>
    <m/>
    <n v="1"/>
    <m/>
    <n v="25000"/>
    <m/>
    <n v="25000"/>
    <m/>
    <s v="Achmad Indrawanto"/>
    <m/>
    <s v="N/A"/>
  </r>
  <r>
    <m/>
    <x v="16"/>
    <m/>
    <s v="MF-FP.25062"/>
    <m/>
    <s v="MF-ST.22563"/>
    <m/>
    <d v="2026-05-10T00:00:00"/>
    <m/>
    <s v="Member Reguler"/>
    <m/>
    <s v="C.13240"/>
    <m/>
    <s v="SYIFA"/>
    <m/>
    <s v="Achmad Indrawanto"/>
    <m/>
    <s v="SERVICE HANDPHONE"/>
    <m/>
    <x v="2"/>
    <m/>
    <s v="ARI MARWAN"/>
    <m/>
    <x v="0"/>
    <m/>
    <s v="Achmad Indrawanto"/>
    <m/>
    <s v="REPAIR"/>
    <m/>
    <s v="SAMSUNG"/>
    <m/>
    <s v="SAMSUNG A21S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6"/>
    <m/>
    <s v="MF-FP.25063"/>
    <m/>
    <s v="MF-ST.22564"/>
    <m/>
    <d v="2026-05-10T00:00:00"/>
    <m/>
    <s v="Member Reguler"/>
    <m/>
    <s v="C.13241"/>
    <m/>
    <s v="FAUZAN"/>
    <m/>
    <s v="Achmad Indrawanto"/>
    <m/>
    <s v="SERVICE HANDPHONE"/>
    <m/>
    <x v="2"/>
    <m/>
    <s v="ARI MARWAN"/>
    <m/>
    <x v="0"/>
    <m/>
    <s v="Achmad Indrawanto"/>
    <m/>
    <s v="REPAIR"/>
    <m/>
    <s v="INFINIX"/>
    <m/>
    <s v="InfiniX HOT 20i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6"/>
    <m/>
    <s v="MF-FP.25063"/>
    <m/>
    <s v="MF-ST.22564"/>
    <m/>
    <d v="2026-05-10T00:00:00"/>
    <m/>
    <s v="Member Reguler"/>
    <m/>
    <s v="C.13241"/>
    <m/>
    <s v="FAUZAN"/>
    <m/>
    <s v="Achmad Indrawanto"/>
    <m/>
    <s v="SERVICE HANDPHONE"/>
    <m/>
    <x v="0"/>
    <m/>
    <s v="ARI MARWAN"/>
    <m/>
    <x v="0"/>
    <m/>
    <s v="Achmad Indrawanto"/>
    <m/>
    <s v="REPAIR"/>
    <m/>
    <s v="INFINIX"/>
    <m/>
    <s v="InfiniX HOT 20i"/>
    <m/>
    <s v="JASA71"/>
    <m/>
    <s v="JASA REPAIR"/>
    <m/>
    <n v="0"/>
    <m/>
    <n v="1"/>
    <m/>
    <n v="175000"/>
    <m/>
    <n v="175000"/>
    <m/>
    <s v="Achmad Indrawanto"/>
    <m/>
    <s v="N/A"/>
  </r>
  <r>
    <m/>
    <x v="16"/>
    <m/>
    <s v="MF-FP.25064"/>
    <m/>
    <s v="MF-ST.22565"/>
    <m/>
    <d v="2026-05-10T00:00:00"/>
    <m/>
    <s v="Member Reguler"/>
    <m/>
    <s v="C.13242"/>
    <m/>
    <s v="ENDANG"/>
    <m/>
    <s v="Achmad Indrawanto"/>
    <m/>
    <s v="SERVICE HANDPHONE"/>
    <m/>
    <x v="0"/>
    <m/>
    <s v="ARI MARWAN"/>
    <m/>
    <x v="0"/>
    <m/>
    <s v="Achmad Indrawanto"/>
    <m/>
    <s v="REPAIR"/>
    <m/>
    <s v="XIAOMI"/>
    <m/>
    <s v="Redmi note 7"/>
    <m/>
    <s v="JASA71"/>
    <m/>
    <s v="JASA REPAIR"/>
    <m/>
    <n v="0"/>
    <m/>
    <n v="1"/>
    <m/>
    <n v="105000"/>
    <m/>
    <n v="105000"/>
    <m/>
    <s v="Achmad Indrawanto"/>
    <m/>
    <s v="N/A"/>
  </r>
  <r>
    <m/>
    <x v="16"/>
    <m/>
    <s v="MF-FP.25064"/>
    <m/>
    <s v="MF-ST.22565"/>
    <m/>
    <d v="2026-05-10T00:00:00"/>
    <m/>
    <s v="Member Reguler"/>
    <m/>
    <s v="C.13242"/>
    <m/>
    <s v="ENDANG"/>
    <m/>
    <s v="Achmad Indrawanto"/>
    <m/>
    <s v="SERVICE HANDPHONE"/>
    <m/>
    <x v="1"/>
    <m/>
    <s v="ARI MARWAN"/>
    <m/>
    <x v="0"/>
    <m/>
    <s v="Achmad Indrawanto"/>
    <m/>
    <s v="REPAIR"/>
    <m/>
    <s v="XIAOMI"/>
    <m/>
    <s v="Redmi note 7"/>
    <m/>
    <s v="101740"/>
    <m/>
    <s v="PERNIK TBL O/F + VLM XIO REDMI NOTE 7/NOTE 7 PRO"/>
    <m/>
    <n v="7156.088154"/>
    <m/>
    <n v="1"/>
    <m/>
    <n v="20000"/>
    <m/>
    <n v="20000"/>
    <m/>
    <s v="Achmad Indrawanto"/>
    <m/>
    <s v="N/A"/>
  </r>
  <r>
    <m/>
    <x v="16"/>
    <m/>
    <s v="MF-FP.25064"/>
    <m/>
    <s v="MF-ST.22565"/>
    <m/>
    <d v="2026-05-10T00:00:00"/>
    <m/>
    <s v="Member Reguler"/>
    <m/>
    <s v="C.13242"/>
    <m/>
    <s v="ENDANG"/>
    <m/>
    <s v="Achmad Indrawanto"/>
    <m/>
    <s v="SERVICE HANDPHONE"/>
    <m/>
    <x v="2"/>
    <m/>
    <s v="ARI MARWAN"/>
    <m/>
    <x v="0"/>
    <m/>
    <s v="Achmad Indrawanto"/>
    <m/>
    <s v="REPAIR"/>
    <m/>
    <s v="XIAOMI"/>
    <m/>
    <s v="Redmi note 7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6"/>
    <m/>
    <s v="MF-FP.25065"/>
    <m/>
    <s v="MF-ST.22566"/>
    <m/>
    <d v="2026-05-10T00:00:00"/>
    <m/>
    <s v="Member Reguler"/>
    <m/>
    <s v="C.12946"/>
    <m/>
    <s v="ALIFIA"/>
    <m/>
    <s v="Achmad Indrawanto"/>
    <m/>
    <s v="SERVICE HANDPHONE"/>
    <m/>
    <x v="0"/>
    <m/>
    <s v="ARI MARWAN"/>
    <m/>
    <x v="0"/>
    <m/>
    <s v="Achmad Indrawanto"/>
    <m/>
    <s v="REPAIR"/>
    <m/>
    <s v="OPPO"/>
    <m/>
    <s v="a1k"/>
    <m/>
    <s v="JASA71"/>
    <m/>
    <s v="JASA REPAIR"/>
    <m/>
    <n v="0"/>
    <m/>
    <n v="1"/>
    <m/>
    <n v="75000"/>
    <m/>
    <n v="75000"/>
    <m/>
    <s v="Achmad Indrawanto"/>
    <m/>
    <s v="N/A"/>
  </r>
  <r>
    <m/>
    <x v="16"/>
    <m/>
    <s v="MF-FP.25065"/>
    <m/>
    <s v="MF-ST.22566"/>
    <m/>
    <d v="2026-05-10T00:00:00"/>
    <m/>
    <s v="Member Reguler"/>
    <m/>
    <s v="C.12946"/>
    <m/>
    <s v="ALIFIA"/>
    <m/>
    <s v="Achmad Indrawanto"/>
    <m/>
    <s v="SERVICE HANDPHONE"/>
    <m/>
    <x v="2"/>
    <m/>
    <s v="ARI MARWAN"/>
    <m/>
    <x v="0"/>
    <m/>
    <s v="Achmad Indrawanto"/>
    <m/>
    <s v="REPAIR"/>
    <m/>
    <s v="OPPO"/>
    <m/>
    <s v="a1k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6"/>
    <m/>
    <s v="MF-FP.25066"/>
    <m/>
    <s v="MF-ST.22568"/>
    <m/>
    <d v="2026-05-10T00:00:00"/>
    <m/>
    <s v="Member Reguler"/>
    <m/>
    <s v="C.13244"/>
    <m/>
    <s v="ISHAQ ISKANDAR"/>
    <m/>
    <s v="Achmad Indrawanto"/>
    <m/>
    <s v="SERVICE LAPTOP"/>
    <m/>
    <x v="0"/>
    <m/>
    <s v="ABDUL MUNAJAT"/>
    <m/>
    <x v="3"/>
    <m/>
    <s v="Achmad Indrawanto"/>
    <m/>
    <s v="REPAIR"/>
    <m/>
    <s v="LENOVO"/>
    <m/>
    <s v="LENOVO IDEAPAD"/>
    <m/>
    <s v="JASA71"/>
    <m/>
    <s v="JASA REPAIR"/>
    <m/>
    <n v="0"/>
    <m/>
    <n v="1"/>
    <m/>
    <n v="50000"/>
    <m/>
    <n v="50000"/>
    <m/>
    <s v="Achmad Indrawanto"/>
    <m/>
    <s v="N/A"/>
  </r>
  <r>
    <m/>
    <x v="16"/>
    <m/>
    <s v="MF-FP.25067"/>
    <m/>
    <s v="MF-ST.22569"/>
    <m/>
    <d v="2026-05-10T00:00:00"/>
    <m/>
    <s v="Member Reguler"/>
    <m/>
    <s v="C.13245"/>
    <m/>
    <s v="TIRTA"/>
    <m/>
    <s v="Achmad Indrawanto"/>
    <m/>
    <s v="SERVICE HANDPHONE"/>
    <m/>
    <x v="0"/>
    <m/>
    <s v="ARI MARWAN"/>
    <m/>
    <x v="0"/>
    <m/>
    <s v="Achmad Indrawanto"/>
    <m/>
    <s v="LCD"/>
    <m/>
    <s v="VIVO"/>
    <m/>
    <s v="Vivo Y50"/>
    <m/>
    <s v="JASA71"/>
    <m/>
    <s v="JASA REPAIR"/>
    <m/>
    <n v="0"/>
    <m/>
    <n v="1"/>
    <m/>
    <n v="185000"/>
    <m/>
    <n v="185000"/>
    <m/>
    <s v="Achmad Indrawanto"/>
    <m/>
    <s v="N/A"/>
  </r>
  <r>
    <m/>
    <x v="16"/>
    <m/>
    <s v="MF-FP.25067"/>
    <m/>
    <s v="MF-ST.22569"/>
    <m/>
    <d v="2026-05-10T00:00:00"/>
    <m/>
    <s v="Member Reguler"/>
    <m/>
    <s v="C.13245"/>
    <m/>
    <s v="TIRTA"/>
    <m/>
    <s v="Achmad Indrawanto"/>
    <m/>
    <s v="SERVICE HANDPHONE"/>
    <m/>
    <x v="1"/>
    <m/>
    <s v="ARI MARWAN"/>
    <m/>
    <x v="0"/>
    <m/>
    <s v="Achmad Indrawanto"/>
    <m/>
    <s v="LCD"/>
    <m/>
    <s v="VIVO"/>
    <m/>
    <s v="Vivo Y50"/>
    <m/>
    <s v="100191"/>
    <m/>
    <s v="LCD.. VIV Y30/Y30i 2019/Y50 B"/>
    <m/>
    <n v="130672.949571"/>
    <m/>
    <n v="1"/>
    <m/>
    <n v="190000"/>
    <m/>
    <n v="190000"/>
    <m/>
    <s v="Achmad Indrawanto"/>
    <m/>
    <s v="N/A"/>
  </r>
  <r>
    <m/>
    <x v="16"/>
    <m/>
    <s v="MF-FP.25067"/>
    <m/>
    <s v="MF-ST.22569"/>
    <m/>
    <d v="2026-05-10T00:00:00"/>
    <m/>
    <s v="Member Reguler"/>
    <m/>
    <s v="C.13245"/>
    <m/>
    <s v="TIRTA"/>
    <m/>
    <s v="Achmad Indrawanto"/>
    <m/>
    <s v="SERVICE HANDPHONE"/>
    <m/>
    <x v="2"/>
    <m/>
    <s v="ARI MARWAN"/>
    <m/>
    <x v="0"/>
    <m/>
    <s v="Achmad Indrawanto"/>
    <m/>
    <s v="LCD"/>
    <m/>
    <s v="VIVO"/>
    <m/>
    <s v="Vivo Y50"/>
    <m/>
    <s v="100025"/>
    <m/>
    <s v="VIVAN HYDROGEL BASIC CRYSTAL CLEAR VSP01T"/>
    <m/>
    <n v="11151.582562"/>
    <m/>
    <n v="1"/>
    <m/>
    <n v="75000"/>
    <m/>
    <n v="75000"/>
    <m/>
    <s v="Achmad Indrawanto"/>
    <m/>
    <s v="N/A"/>
  </r>
  <r>
    <m/>
    <x v="16"/>
    <m/>
    <s v="MF-FP.25068"/>
    <m/>
    <s v="MF-ST.22570"/>
    <m/>
    <d v="2026-05-10T00:00:00"/>
    <m/>
    <s v="Member Reguler"/>
    <m/>
    <s v="C.04243"/>
    <m/>
    <s v="BU IKA HOTWARIDA"/>
    <m/>
    <s v="Achmad Indrawanto"/>
    <m/>
    <s v="SERVICE HANDPHONE"/>
    <m/>
    <x v="0"/>
    <m/>
    <s v="ARI MARWAN"/>
    <m/>
    <x v="0"/>
    <m/>
    <s v="Achmad Indrawanto"/>
    <m/>
    <s v="REPAIR"/>
    <m/>
    <s v="SAMSUNG"/>
    <m/>
    <s v="samsung a21s"/>
    <m/>
    <s v="JASA71"/>
    <m/>
    <s v="JASA REPAIR"/>
    <m/>
    <n v="0"/>
    <m/>
    <n v="1"/>
    <m/>
    <n v="113000"/>
    <m/>
    <n v="113000"/>
    <m/>
    <s v="LEROY YAN PRATAMA"/>
    <m/>
    <s v="N/A"/>
  </r>
  <r>
    <m/>
    <x v="16"/>
    <m/>
    <s v="MF-FP.25068"/>
    <m/>
    <s v="MF-ST.22570"/>
    <m/>
    <d v="2026-05-10T00:00:00"/>
    <m/>
    <s v="Member Reguler"/>
    <m/>
    <s v="C.04243"/>
    <m/>
    <s v="BU IKA HOTWARIDA"/>
    <m/>
    <s v="Achmad Indrawanto"/>
    <m/>
    <s v="SERVICE HANDPHONE"/>
    <m/>
    <x v="1"/>
    <m/>
    <s v="ARI MARWAN"/>
    <m/>
    <x v="0"/>
    <m/>
    <s v="Achmad Indrawanto"/>
    <m/>
    <s v="REPAIR"/>
    <m/>
    <s v="SAMSUNG"/>
    <m/>
    <s v="samsung a21s"/>
    <m/>
    <s v="103953"/>
    <m/>
    <s v="PERNIK TBL O/F + VLM SAM A21S"/>
    <m/>
    <n v="3043.9372669999998"/>
    <m/>
    <n v="1"/>
    <m/>
    <n v="12000"/>
    <m/>
    <n v="12000"/>
    <m/>
    <s v="LEROY YAN PRATAMA"/>
    <m/>
    <s v="N/A"/>
  </r>
  <r>
    <m/>
    <x v="16"/>
    <m/>
    <s v="MF-FP.25068"/>
    <m/>
    <s v="MF-ST.22570"/>
    <m/>
    <d v="2026-05-10T00:00:00"/>
    <m/>
    <s v="Member Reguler"/>
    <m/>
    <s v="C.04243"/>
    <m/>
    <s v="BU IKA HOTWARIDA"/>
    <m/>
    <s v="Achmad Indrawanto"/>
    <m/>
    <s v="SERVICE HANDPHONE"/>
    <m/>
    <x v="2"/>
    <m/>
    <s v="ARI MARWAN"/>
    <m/>
    <x v="0"/>
    <m/>
    <s v="Achmad Indrawanto"/>
    <m/>
    <s v="REPAIR"/>
    <m/>
    <s v="SAMSUNG"/>
    <m/>
    <s v="samsung a21s"/>
    <m/>
    <s v="AKOR-014"/>
    <m/>
    <s v="ORAIMO CABLE TYPE-C 2A OCD-114C"/>
    <m/>
    <n v="15000"/>
    <m/>
    <n v="1"/>
    <m/>
    <n v="25000"/>
    <m/>
    <n v="25000"/>
    <m/>
    <s v="LEROY YAN PRATAMA"/>
    <m/>
    <s v="N/A"/>
  </r>
  <r>
    <m/>
    <x v="16"/>
    <m/>
    <s v="MF-FP.25070"/>
    <m/>
    <s v="MF-ST.22574"/>
    <m/>
    <d v="2026-05-10T00:00:00"/>
    <m/>
    <s v="Member Reguler"/>
    <m/>
    <s v="C.13248"/>
    <m/>
    <s v="YUYUN"/>
    <m/>
    <s v="Achmad Indrawanto"/>
    <m/>
    <s v="SERVICE LAPTOP"/>
    <m/>
    <x v="0"/>
    <m/>
    <s v="ABDUL MUNAJAT"/>
    <m/>
    <x v="3"/>
    <m/>
    <s v="Achmad Indrawanto"/>
    <m/>
    <s v="SOFTWARE"/>
    <m/>
    <s v="LENOVO"/>
    <m/>
    <s v="Thinkpad x280"/>
    <m/>
    <s v="JASA71"/>
    <m/>
    <s v="JASA REPAIR"/>
    <m/>
    <n v="0"/>
    <m/>
    <n v="1"/>
    <m/>
    <n v="175000"/>
    <m/>
    <n v="175000"/>
    <m/>
    <s v="Achmad Indrawanto"/>
    <m/>
    <s v="N/A"/>
  </r>
  <r>
    <m/>
    <x v="16"/>
    <m/>
    <s v="MF-FP.25070"/>
    <m/>
    <s v="MF-ST.22574"/>
    <m/>
    <d v="2026-05-10T00:00:00"/>
    <m/>
    <s v="Member Reguler"/>
    <m/>
    <s v="C.13248"/>
    <m/>
    <s v="YUYUN"/>
    <m/>
    <s v="Achmad Indrawanto"/>
    <m/>
    <s v="SERVICE LAPTOP"/>
    <m/>
    <x v="2"/>
    <m/>
    <s v="ABDUL MUNAJAT"/>
    <m/>
    <x v="3"/>
    <m/>
    <s v="Achmad Indrawanto"/>
    <m/>
    <s v="SOFTWARE"/>
    <m/>
    <s v="LENOVO"/>
    <m/>
    <s v="Thinkpad x280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6"/>
    <m/>
    <s v="MF-FP.25074"/>
    <m/>
    <s v="MF-ST.22581"/>
    <m/>
    <d v="2026-05-10T00:00:00"/>
    <m/>
    <s v="Umum"/>
    <m/>
    <s v="C.12221"/>
    <m/>
    <s v="PAK EKO"/>
    <m/>
    <s v="WAHYU PRATAMA"/>
    <m/>
    <s v="SERVICE HANDPHONE"/>
    <m/>
    <x v="0"/>
    <m/>
    <s v="YUVI NOFERIANTO"/>
    <m/>
    <x v="4"/>
    <m/>
    <s v="WAHYU PRATAMA"/>
    <m/>
    <s v="FLEXIBEL ON/OFF"/>
    <m/>
    <s v="SAMSUNG"/>
    <m/>
    <s v="A32"/>
    <m/>
    <s v="JASA71"/>
    <m/>
    <s v="JASA REPAIR"/>
    <m/>
    <n v="0"/>
    <m/>
    <n v="1"/>
    <m/>
    <n v="120000"/>
    <m/>
    <n v="120000"/>
    <m/>
    <m/>
    <m/>
    <s v="N/A"/>
  </r>
  <r>
    <m/>
    <x v="16"/>
    <m/>
    <s v="MF-FP.25071"/>
    <m/>
    <s v="MF-ST.22575"/>
    <m/>
    <d v="2026-05-10T00:00:00"/>
    <m/>
    <s v="Umum"/>
    <m/>
    <s v="C.08266"/>
    <m/>
    <s v="Rijal"/>
    <m/>
    <s v="Achmad Indrawanto"/>
    <m/>
    <s v="SERVICE HANDPHONE"/>
    <m/>
    <x v="0"/>
    <m/>
    <s v="ARI MARWAN"/>
    <m/>
    <x v="0"/>
    <m/>
    <s v="Achmad Indrawanto"/>
    <m/>
    <s v="REPAIR"/>
    <m/>
    <s v="SAMSUNG"/>
    <m/>
    <s v="Samsung A23 5G"/>
    <m/>
    <s v="JASA71"/>
    <m/>
    <s v="JASA REPAIR"/>
    <m/>
    <n v="0"/>
    <m/>
    <n v="1"/>
    <m/>
    <n v="125000"/>
    <m/>
    <n v="125000"/>
    <m/>
    <s v="TEGAR PUTRA YANSA SALES"/>
    <m/>
    <s v="N/A"/>
  </r>
  <r>
    <m/>
    <x v="16"/>
    <m/>
    <s v="MF-FP.25071"/>
    <m/>
    <s v="MF-ST.22575"/>
    <m/>
    <d v="2026-05-10T00:00:00"/>
    <m/>
    <s v="Umum"/>
    <m/>
    <s v="C.08266"/>
    <m/>
    <s v="Rijal"/>
    <m/>
    <s v="Achmad Indrawanto"/>
    <m/>
    <s v="SERVICE HANDPHONE"/>
    <m/>
    <x v="2"/>
    <m/>
    <s v="ARI MARWAN"/>
    <m/>
    <x v="0"/>
    <m/>
    <s v="Achmad Indrawanto"/>
    <m/>
    <s v="REPAIR"/>
    <m/>
    <s v="SAMSUNG"/>
    <m/>
    <s v="Samsung A23 5G"/>
    <m/>
    <s v="AKOR-014"/>
    <m/>
    <s v="ORAIMO CABLE TYPE-C 2A OCD-114C"/>
    <m/>
    <n v="15000"/>
    <m/>
    <n v="1"/>
    <m/>
    <n v="25000"/>
    <m/>
    <n v="25000"/>
    <m/>
    <s v="TEGAR PUTRA YANSA SALES"/>
    <m/>
    <s v="N/A"/>
  </r>
  <r>
    <m/>
    <x v="16"/>
    <m/>
    <s v="MF-FP.25074"/>
    <m/>
    <s v="MF-ST.22581"/>
    <m/>
    <d v="2026-05-10T00:00:00"/>
    <m/>
    <s v="Umum"/>
    <m/>
    <s v="C.12221"/>
    <m/>
    <s v="PAK EKO"/>
    <m/>
    <s v="WAHYU PRATAMA"/>
    <m/>
    <s v="SERVICE HANDPHONE"/>
    <m/>
    <x v="1"/>
    <m/>
    <s v="YUVI NOFERIANTO"/>
    <m/>
    <x v="4"/>
    <m/>
    <s v="WAHYU PRATAMA"/>
    <m/>
    <s v="FLEXIBEL ON/OFF"/>
    <m/>
    <s v="SAMSUNG"/>
    <m/>
    <s v="A32"/>
    <m/>
    <s v="105586"/>
    <m/>
    <s v="PERNIK TBL VLM SAM A12 / A13 / A23 / A32 5G / M12 / M22 / M23 / M32 / M33"/>
    <m/>
    <n v="3056.3673469999999"/>
    <m/>
    <n v="1"/>
    <m/>
    <n v="15000"/>
    <m/>
    <n v="15000"/>
    <m/>
    <m/>
    <m/>
    <s v="N/A"/>
  </r>
  <r>
    <m/>
    <x v="16"/>
    <m/>
    <s v="MF-FP.25073"/>
    <m/>
    <s v="MF-ST.22578"/>
    <m/>
    <d v="2026-05-10T00:00:00"/>
    <m/>
    <s v="Umum"/>
    <m/>
    <s v="C.11699"/>
    <m/>
    <s v="LAILA"/>
    <m/>
    <s v="WAHYU PRATAMA"/>
    <m/>
    <s v="PENJUALAN AKSESORIS"/>
    <m/>
    <x v="2"/>
    <m/>
    <s v="N/A"/>
    <m/>
    <x v="5"/>
    <m/>
    <s v="WAHYU PRATAMA"/>
    <m/>
    <s v="REPAIR"/>
    <m/>
    <s v="SAMSUNG"/>
    <m/>
    <s v="SAM"/>
    <m/>
    <s v="101491"/>
    <m/>
    <s v="ADPTR LPT LNV 20V 3.25A  TYPE-C 65 WATT"/>
    <m/>
    <n v="97213.082802999998"/>
    <m/>
    <n v="1"/>
    <m/>
    <n v="250000"/>
    <m/>
    <n v="250000"/>
    <m/>
    <s v="Achmad Indrawanto"/>
    <m/>
    <s v="N/A"/>
  </r>
  <r>
    <m/>
    <x v="16"/>
    <m/>
    <s v="MF-FP.25074"/>
    <m/>
    <s v="MF-ST.22581"/>
    <m/>
    <d v="2026-05-10T00:00:00"/>
    <m/>
    <s v="Umum"/>
    <m/>
    <s v="C.12221"/>
    <m/>
    <s v="PAK EKO"/>
    <m/>
    <s v="WAHYU PRATAMA"/>
    <m/>
    <s v="SERVICE HANDPHONE"/>
    <m/>
    <x v="2"/>
    <m/>
    <s v="YUVI NOFERIANTO"/>
    <m/>
    <x v="4"/>
    <m/>
    <s v="WAHYU PRATAMA"/>
    <m/>
    <s v="FLEXIBEL ON/OFF"/>
    <m/>
    <s v="SAMSUNG"/>
    <m/>
    <s v="A32"/>
    <m/>
    <s v="AKOR-014"/>
    <m/>
    <s v="ORAIMO CABLE TYPE-C 2A OCD-114C"/>
    <m/>
    <n v="15000"/>
    <m/>
    <n v="1"/>
    <m/>
    <n v="15000"/>
    <m/>
    <n v="15000"/>
    <m/>
    <m/>
    <m/>
    <s v="N/A"/>
  </r>
  <r>
    <m/>
    <x v="16"/>
    <m/>
    <s v="MF-FP.25076"/>
    <m/>
    <s v="MF-ST.22484"/>
    <m/>
    <d v="2026-05-06T00:00:00"/>
    <m/>
    <s v="Umum"/>
    <m/>
    <s v="C.11256"/>
    <m/>
    <s v="PAK ANWAR"/>
    <m/>
    <s v="Achmad Indrawanto"/>
    <m/>
    <s v="SERVICE HANDPHONE"/>
    <m/>
    <x v="0"/>
    <m/>
    <s v="YUVI NOFERIANTO"/>
    <m/>
    <x v="4"/>
    <m/>
    <s v="WAHYU PRATAMA"/>
    <m/>
    <s v="BATERAI"/>
    <m/>
    <s v="SAMSUNG"/>
    <m/>
    <s v="S23 ULTRA"/>
    <m/>
    <s v="JASA71"/>
    <m/>
    <s v="JASA REPAIR"/>
    <m/>
    <n v="0"/>
    <m/>
    <n v="1"/>
    <m/>
    <n v="300000"/>
    <m/>
    <n v="300000"/>
    <m/>
    <m/>
    <m/>
    <s v="N/A"/>
  </r>
  <r>
    <m/>
    <x v="16"/>
    <m/>
    <s v="MF-FP.25076"/>
    <m/>
    <s v="MF-ST.22484"/>
    <m/>
    <d v="2026-05-06T00:00:00"/>
    <m/>
    <s v="Umum"/>
    <m/>
    <s v="C.11256"/>
    <m/>
    <s v="PAK ANWAR"/>
    <m/>
    <s v="Achmad Indrawanto"/>
    <m/>
    <s v="SERVICE HANDPHONE"/>
    <m/>
    <x v="1"/>
    <m/>
    <s v="YUVI NOFERIANTO"/>
    <m/>
    <x v="4"/>
    <m/>
    <s v="WAHYU PRATAMA"/>
    <m/>
    <s v="BATERAI"/>
    <m/>
    <s v="SAMSUNG"/>
    <m/>
    <s v="S23 ULTRA"/>
    <m/>
    <s v="107138"/>
    <m/>
    <s v="BATER SAM S23 ULTRA ORI"/>
    <m/>
    <n v="228000"/>
    <m/>
    <n v="1"/>
    <m/>
    <n v="285000"/>
    <m/>
    <n v="285000"/>
    <m/>
    <m/>
    <m/>
    <s v="N/A"/>
  </r>
  <r>
    <m/>
    <x v="16"/>
    <m/>
    <s v="MF-FP.25076"/>
    <m/>
    <s v="MF-ST.22484"/>
    <m/>
    <d v="2026-05-06T00:00:00"/>
    <m/>
    <s v="Umum"/>
    <m/>
    <s v="C.11256"/>
    <m/>
    <s v="PAK ANWAR"/>
    <m/>
    <s v="Achmad Indrawanto"/>
    <m/>
    <s v="SERVICE HANDPHONE"/>
    <m/>
    <x v="2"/>
    <m/>
    <s v="YUVI NOFERIANTO"/>
    <m/>
    <x v="4"/>
    <m/>
    <s v="WAHYU PRATAMA"/>
    <m/>
    <s v="BATERAI"/>
    <m/>
    <s v="SAMSUNG"/>
    <m/>
    <s v="S23 ULTRA"/>
    <m/>
    <s v="AKOR-014"/>
    <m/>
    <s v="ORAIMO CABLE TYPE-C 2A OCD-114C"/>
    <m/>
    <n v="15000"/>
    <m/>
    <n v="1"/>
    <m/>
    <n v="15000"/>
    <m/>
    <n v="15000"/>
    <m/>
    <m/>
    <m/>
    <s v="N/A"/>
  </r>
  <r>
    <m/>
    <x v="16"/>
    <m/>
    <s v="MF-FP.25077"/>
    <m/>
    <s v="MF-ST.22567"/>
    <m/>
    <d v="2026-05-10T00:00:00"/>
    <m/>
    <s v="Member Reguler"/>
    <m/>
    <s v="C.13243"/>
    <m/>
    <s v="AHSA"/>
    <m/>
    <s v="Achmad Indrawanto"/>
    <m/>
    <s v="SERVICE LAPTOP"/>
    <m/>
    <x v="0"/>
    <m/>
    <s v="ABDUL MUNAJAT"/>
    <m/>
    <x v="3"/>
    <m/>
    <s v="WAHYU PRATAMA"/>
    <m/>
    <s v="CLEAN UP"/>
    <m/>
    <s v="LENOVO"/>
    <m/>
    <s v="Thinkpad P51"/>
    <m/>
    <s v="JASA71"/>
    <m/>
    <s v="JASA REPAIR"/>
    <m/>
    <n v="0"/>
    <m/>
    <n v="1"/>
    <m/>
    <n v="335000"/>
    <m/>
    <n v="335000"/>
    <m/>
    <s v="Achmad Indrawanto"/>
    <m/>
    <s v="N/A"/>
  </r>
  <r>
    <m/>
    <x v="16"/>
    <m/>
    <s v="MF-FP.25077"/>
    <m/>
    <s v="MF-ST.22567"/>
    <m/>
    <d v="2026-05-10T00:00:00"/>
    <m/>
    <s v="Member Reguler"/>
    <m/>
    <s v="C.13243"/>
    <m/>
    <s v="AHSA"/>
    <m/>
    <s v="Achmad Indrawanto"/>
    <m/>
    <s v="SERVICE LAPTOP"/>
    <m/>
    <x v="2"/>
    <m/>
    <s v="ABDUL MUNAJAT"/>
    <m/>
    <x v="3"/>
    <m/>
    <s v="WAHYU PRATAMA"/>
    <m/>
    <s v="CLEAN UP"/>
    <m/>
    <s v="LENOVO"/>
    <m/>
    <s v="Thinkpad P51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16"/>
    <m/>
    <s v="MF-FP.25079"/>
    <m/>
    <s v="MF-ST.22587"/>
    <m/>
    <d v="2026-05-10T00:00:00"/>
    <m/>
    <s v="Umum"/>
    <m/>
    <s v="C.11946"/>
    <m/>
    <s v="YUNI"/>
    <m/>
    <s v="WAHYU PRATAMA"/>
    <m/>
    <s v="SERVICE HANDPHONE"/>
    <m/>
    <x v="0"/>
    <m/>
    <s v="MUSTOFA"/>
    <m/>
    <x v="1"/>
    <m/>
    <s v="WAHYU PRATAMA"/>
    <m/>
    <s v="LCD"/>
    <m/>
    <s v="SAMSUNG"/>
    <m/>
    <s v="M33"/>
    <m/>
    <s v="JASA71"/>
    <m/>
    <s v="JASA REPAIR"/>
    <m/>
    <n v="0"/>
    <m/>
    <n v="1"/>
    <m/>
    <n v="185000"/>
    <m/>
    <n v="185000"/>
    <m/>
    <m/>
    <m/>
    <s v="N/A"/>
  </r>
  <r>
    <m/>
    <x v="16"/>
    <m/>
    <s v="MF-FP.25079"/>
    <m/>
    <s v="MF-ST.22587"/>
    <m/>
    <d v="2026-05-10T00:00:00"/>
    <m/>
    <s v="Umum"/>
    <m/>
    <s v="C.11946"/>
    <m/>
    <s v="YUNI"/>
    <m/>
    <s v="WAHYU PRATAMA"/>
    <m/>
    <s v="SERVICE HANDPHONE"/>
    <m/>
    <x v="1"/>
    <m/>
    <s v="MUSTOFA"/>
    <m/>
    <x v="1"/>
    <m/>
    <s v="WAHYU PRATAMA"/>
    <m/>
    <s v="LCD"/>
    <m/>
    <s v="SAMSUNG"/>
    <m/>
    <s v="M33"/>
    <m/>
    <s v="100169"/>
    <m/>
    <s v="LCD.. SAM A23 4G/A13 4G/M23 5G/M33 5G B"/>
    <m/>
    <n v="142152.878444"/>
    <m/>
    <n v="1"/>
    <m/>
    <n v="200000"/>
    <m/>
    <n v="200000"/>
    <m/>
    <m/>
    <m/>
    <s v="N/A"/>
  </r>
  <r>
    <m/>
    <x v="16"/>
    <m/>
    <s v="MF-FP.25079"/>
    <m/>
    <s v="MF-ST.22587"/>
    <m/>
    <d v="2026-05-10T00:00:00"/>
    <m/>
    <s v="Umum"/>
    <m/>
    <s v="C.11946"/>
    <m/>
    <s v="YUNI"/>
    <m/>
    <s v="WAHYU PRATAMA"/>
    <m/>
    <s v="SERVICE HANDPHONE"/>
    <m/>
    <x v="2"/>
    <m/>
    <s v="MUSTOFA"/>
    <m/>
    <x v="1"/>
    <m/>
    <s v="WAHYU PRATAMA"/>
    <m/>
    <s v="LCD"/>
    <m/>
    <s v="SAMSUNG"/>
    <m/>
    <s v="M33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16"/>
    <m/>
    <s v="MF-FP.25079"/>
    <m/>
    <s v="MF-ST.22587"/>
    <m/>
    <d v="2026-05-10T00:00:00"/>
    <m/>
    <s v="Umum"/>
    <m/>
    <s v="C.11946"/>
    <m/>
    <s v="YUNI"/>
    <m/>
    <s v="WAHYU PRATAMA"/>
    <m/>
    <s v="SERVICE HANDPHONE"/>
    <m/>
    <x v="2"/>
    <m/>
    <s v="MUSTOFA"/>
    <m/>
    <x v="1"/>
    <m/>
    <s v="WAHYU PRATAMA"/>
    <m/>
    <s v="LCD"/>
    <m/>
    <s v="SAMSUNG"/>
    <m/>
    <s v="M33"/>
    <m/>
    <s v="AKOR-014"/>
    <m/>
    <s v="ORAIMO CABLE TYPE-C 2A OCD-114C"/>
    <m/>
    <n v="15000"/>
    <m/>
    <n v="1"/>
    <m/>
    <n v="15000"/>
    <m/>
    <n v="15000"/>
    <m/>
    <m/>
    <m/>
    <s v="N/A"/>
  </r>
  <r>
    <m/>
    <x v="16"/>
    <m/>
    <s v="MF-FP.25075"/>
    <m/>
    <s v="MF-ST.22516"/>
    <m/>
    <d v="2026-05-08T00:00:00"/>
    <m/>
    <s v="Umum"/>
    <m/>
    <s v="C.10057"/>
    <m/>
    <s v="SOFYAN"/>
    <m/>
    <s v="HANIF"/>
    <m/>
    <s v="SERVICE HANDPHONE"/>
    <m/>
    <x v="0"/>
    <m/>
    <s v="EKO RISDIYANTORO JATIMULYA"/>
    <m/>
    <x v="2"/>
    <m/>
    <s v="WAHYU PRATAMA"/>
    <m/>
    <s v="HARDWARE"/>
    <m/>
    <s v="APPLE"/>
    <m/>
    <s v="IPHONE 16 PRO"/>
    <m/>
    <s v="JASA71"/>
    <m/>
    <s v="JASA REPAIR"/>
    <m/>
    <n v="0"/>
    <m/>
    <n v="1"/>
    <m/>
    <n v="1335000"/>
    <m/>
    <n v="1335000"/>
    <m/>
    <s v="WAHYU PRATAMA"/>
    <m/>
    <s v="N/A"/>
  </r>
  <r>
    <m/>
    <x v="16"/>
    <m/>
    <s v="MF-FP.25075"/>
    <m/>
    <s v="MF-ST.22516"/>
    <m/>
    <d v="2026-05-08T00:00:00"/>
    <m/>
    <s v="Umum"/>
    <m/>
    <s v="C.10057"/>
    <m/>
    <s v="SOFYAN"/>
    <m/>
    <s v="HANIF"/>
    <m/>
    <s v="SERVICE HANDPHONE"/>
    <m/>
    <x v="1"/>
    <m/>
    <s v="EKO RISDIYANTORO JATIMULYA"/>
    <m/>
    <x v="2"/>
    <m/>
    <s v="WAHYU PRATAMA"/>
    <m/>
    <s v="HARDWARE"/>
    <m/>
    <s v="APPLE"/>
    <m/>
    <s v="IPHONE 16 PRO"/>
    <m/>
    <s v="107259"/>
    <m/>
    <s v="LCD.. IPH 16 PRO ORI"/>
    <m/>
    <n v="5250000"/>
    <m/>
    <n v="1"/>
    <m/>
    <n v="5650000"/>
    <m/>
    <n v="5650000"/>
    <m/>
    <s v="WAHYU PRATAMA"/>
    <m/>
    <s v="N/A"/>
  </r>
  <r>
    <m/>
    <x v="16"/>
    <m/>
    <s v="MF-FP.25075"/>
    <m/>
    <s v="MF-ST.22516"/>
    <m/>
    <d v="2026-05-08T00:00:00"/>
    <m/>
    <s v="Umum"/>
    <m/>
    <s v="C.10057"/>
    <m/>
    <s v="SOFYAN"/>
    <m/>
    <s v="HANIF"/>
    <m/>
    <s v="SERVICE HANDPHONE"/>
    <m/>
    <x v="2"/>
    <m/>
    <s v="EKO RISDIYANTORO JATIMULYA"/>
    <m/>
    <x v="2"/>
    <m/>
    <s v="WAHYU PRATAMA"/>
    <m/>
    <s v="HARDWARE"/>
    <m/>
    <s v="APPLE"/>
    <m/>
    <s v="IPHONE 16 PRO"/>
    <m/>
    <s v="AKOR-014"/>
    <m/>
    <s v="ORAIMO CABLE TYPE-C 2A OCD-114C"/>
    <m/>
    <n v="15000"/>
    <m/>
    <n v="1"/>
    <m/>
    <n v="15000"/>
    <m/>
    <n v="15000"/>
    <m/>
    <s v="WAHYU PRATAMA"/>
    <m/>
    <s v="N/A"/>
  </r>
  <r>
    <m/>
    <x v="16"/>
    <m/>
    <s v="MF-FP.25078"/>
    <m/>
    <s v="MF-ST.22585"/>
    <m/>
    <d v="2026-05-10T00:00:00"/>
    <m/>
    <s v="Member Reguler"/>
    <m/>
    <s v="C.06492"/>
    <m/>
    <s v="WESLEY"/>
    <m/>
    <s v="WAHYU PRATAMA"/>
    <m/>
    <s v="SERVICE HANDPHONE"/>
    <m/>
    <x v="0"/>
    <m/>
    <s v="YUVI NOFERIANTO"/>
    <m/>
    <x v="4"/>
    <m/>
    <s v="WAHYU PRATAMA"/>
    <m/>
    <s v="REPAIR"/>
    <m/>
    <s v="APPLE"/>
    <m/>
    <s v="IPH 11"/>
    <m/>
    <s v="JASA71"/>
    <m/>
    <s v="JASA REPAIR"/>
    <m/>
    <n v="0"/>
    <m/>
    <n v="1"/>
    <m/>
    <n v="135000"/>
    <m/>
    <n v="135000"/>
    <m/>
    <s v="Achmad Indrawanto"/>
    <m/>
    <s v="N/A"/>
  </r>
  <r>
    <m/>
    <x v="16"/>
    <m/>
    <s v="MF-FP.25078"/>
    <m/>
    <s v="MF-ST.22585"/>
    <m/>
    <d v="2026-05-10T00:00:00"/>
    <m/>
    <s v="Member Reguler"/>
    <m/>
    <s v="C.06492"/>
    <m/>
    <s v="WESLEY"/>
    <m/>
    <s v="WAHYU PRATAMA"/>
    <m/>
    <s v="SERVICE HANDPHONE"/>
    <m/>
    <x v="2"/>
    <m/>
    <s v="YUVI NOFERIANTO"/>
    <m/>
    <x v="4"/>
    <m/>
    <s v="WAHYU PRATAMA"/>
    <m/>
    <s v="REPAIR"/>
    <m/>
    <s v="APPLE"/>
    <m/>
    <s v="IPH 11"/>
    <m/>
    <s v="AKOR-014"/>
    <m/>
    <s v="ORAIMO CABLE TYPE-C 2A OCD-114C"/>
    <m/>
    <n v="15000"/>
    <m/>
    <n v="1"/>
    <m/>
    <n v="15000"/>
    <m/>
    <n v="15000"/>
    <m/>
    <s v="Achmad Indrawanto"/>
    <m/>
    <s v="N/A"/>
  </r>
  <r>
    <m/>
    <x v="17"/>
    <m/>
    <s v="MF-FP.25080"/>
    <m/>
    <s v="MF-ST.22589"/>
    <m/>
    <d v="2026-05-11T00:00:00"/>
    <m/>
    <s v="Umum"/>
    <m/>
    <s v="C.11685"/>
    <m/>
    <s v="IKHSAN"/>
    <m/>
    <s v="WAHYU PRATAMA"/>
    <m/>
    <s v="SERVICE HANDPHONE"/>
    <m/>
    <x v="0"/>
    <m/>
    <s v="YUVI NOFERIANTO"/>
    <m/>
    <x v="4"/>
    <m/>
    <s v="WAHYU PRATAMA"/>
    <m/>
    <s v="REPAIR"/>
    <m/>
    <s v="REALME"/>
    <m/>
    <s v="C35"/>
    <m/>
    <s v="JASA71"/>
    <m/>
    <s v="JASA REPAIR"/>
    <m/>
    <n v="0"/>
    <m/>
    <n v="1"/>
    <m/>
    <n v="20000"/>
    <m/>
    <n v="20000"/>
    <m/>
    <m/>
    <m/>
    <s v="N/A"/>
  </r>
  <r>
    <m/>
    <x v="17"/>
    <m/>
    <s v="MF-FP.25080"/>
    <m/>
    <s v="MF-ST.22589"/>
    <m/>
    <d v="2026-05-11T00:00:00"/>
    <m/>
    <s v="Umum"/>
    <m/>
    <s v="C.11685"/>
    <m/>
    <s v="IKHSAN"/>
    <m/>
    <s v="WAHYU PRATAMA"/>
    <m/>
    <s v="SERVICE HANDPHONE"/>
    <m/>
    <x v="2"/>
    <m/>
    <s v="YUVI NOFERIANTO"/>
    <m/>
    <x v="4"/>
    <m/>
    <s v="WAHYU PRATAMA"/>
    <m/>
    <s v="REPAIR"/>
    <m/>
    <s v="REALME"/>
    <m/>
    <s v="C35"/>
    <m/>
    <s v="AKOR-014"/>
    <m/>
    <s v="ORAIMO CABLE TYPE-C 2A OCD-114C"/>
    <m/>
    <n v="15000"/>
    <m/>
    <n v="1"/>
    <m/>
    <n v="15000"/>
    <m/>
    <n v="15000"/>
    <m/>
    <m/>
    <m/>
    <s v="N/A"/>
  </r>
  <r>
    <m/>
    <x v="17"/>
    <m/>
    <s v="MF-FP.25096"/>
    <m/>
    <s v="MF-ST.22572"/>
    <m/>
    <d v="2026-05-10T00:00:00"/>
    <m/>
    <s v="Member Reguler"/>
    <m/>
    <s v="C.13246"/>
    <m/>
    <s v="ROSI"/>
    <m/>
    <s v="Achmad Indrawanto"/>
    <m/>
    <s v="SERVICE HANDPHONE"/>
    <m/>
    <x v="0"/>
    <m/>
    <s v="ARI MARWAN"/>
    <m/>
    <x v="0"/>
    <m/>
    <s v="Achmad Indrawanto"/>
    <m/>
    <s v="REPAIR"/>
    <m/>
    <s v="SAMSUNG"/>
    <m/>
    <s v="Samsung A33 5G"/>
    <m/>
    <s v="JASA71"/>
    <m/>
    <s v="JASA REPAIR"/>
    <m/>
    <n v="0"/>
    <m/>
    <n v="1"/>
    <m/>
    <n v="175000"/>
    <m/>
    <n v="175000"/>
    <m/>
    <s v="Achmad Indrawanto"/>
    <m/>
    <s v="N/A"/>
  </r>
  <r>
    <m/>
    <x v="17"/>
    <m/>
    <s v="MF-FP.25081"/>
    <m/>
    <s v="MF-ST.22590"/>
    <m/>
    <d v="2026-05-11T00:00:00"/>
    <m/>
    <s v="Umum"/>
    <m/>
    <s v="C.13254"/>
    <m/>
    <s v="AZHARI"/>
    <m/>
    <s v="WAHYU PRATAMA"/>
    <m/>
    <s v="SERVICE HANDPHONE"/>
    <m/>
    <x v="0"/>
    <m/>
    <s v="MUSTOFA"/>
    <m/>
    <x v="1"/>
    <m/>
    <s v="WAHYU PRATAMA"/>
    <m/>
    <s v="BATERAI"/>
    <m/>
    <s v="VIVO"/>
    <m/>
    <s v="Y17"/>
    <m/>
    <s v="JASA71"/>
    <m/>
    <s v="JASA REPAIR"/>
    <m/>
    <n v="0"/>
    <m/>
    <n v="1"/>
    <m/>
    <n v="230000"/>
    <m/>
    <n v="230000"/>
    <m/>
    <m/>
    <m/>
    <s v="N/A"/>
  </r>
  <r>
    <m/>
    <x v="17"/>
    <m/>
    <s v="MF-FP.25081"/>
    <m/>
    <s v="MF-ST.22590"/>
    <m/>
    <d v="2026-05-11T00:00:00"/>
    <m/>
    <s v="Umum"/>
    <m/>
    <s v="C.13254"/>
    <m/>
    <s v="AZHARI"/>
    <m/>
    <s v="WAHYU PRATAMA"/>
    <m/>
    <s v="SERVICE HANDPHONE"/>
    <m/>
    <x v="1"/>
    <m/>
    <s v="MUSTOFA"/>
    <m/>
    <x v="1"/>
    <m/>
    <s v="WAHYU PRATAMA"/>
    <m/>
    <s v="BATERAI"/>
    <m/>
    <s v="VIVO"/>
    <m/>
    <s v="Y17"/>
    <m/>
    <s v="100209"/>
    <m/>
    <s v="BATER VIV Y12 Y15 Y17 2019 Z1 PRO BG7"/>
    <m/>
    <n v="118390.504461"/>
    <m/>
    <n v="1"/>
    <m/>
    <n v="135000"/>
    <m/>
    <n v="135000"/>
    <m/>
    <m/>
    <m/>
    <s v="N/A"/>
  </r>
  <r>
    <m/>
    <x v="17"/>
    <m/>
    <s v="MF-FP.25081"/>
    <m/>
    <s v="MF-ST.22590"/>
    <m/>
    <d v="2026-05-11T00:00:00"/>
    <m/>
    <s v="Umum"/>
    <m/>
    <s v="C.13254"/>
    <m/>
    <s v="AZHARI"/>
    <m/>
    <s v="WAHYU PRATAMA"/>
    <m/>
    <s v="SERVICE HANDPHONE"/>
    <m/>
    <x v="2"/>
    <m/>
    <s v="MUSTOFA"/>
    <m/>
    <x v="1"/>
    <m/>
    <s v="WAHYU PRATAMA"/>
    <m/>
    <s v="BATERAI"/>
    <m/>
    <s v="VIVO"/>
    <m/>
    <s v="Y17"/>
    <m/>
    <s v="AKOR-014"/>
    <m/>
    <s v="ORAIMO CABLE TYPE-C 2A OCD-114C"/>
    <m/>
    <n v="15000"/>
    <m/>
    <n v="1"/>
    <m/>
    <n v="15000"/>
    <m/>
    <n v="15000"/>
    <m/>
    <m/>
    <m/>
    <s v="N/A"/>
  </r>
  <r>
    <m/>
    <x v="17"/>
    <m/>
    <s v="MF-FP.25081"/>
    <m/>
    <s v="MF-ST.22590"/>
    <m/>
    <d v="2026-05-11T00:00:00"/>
    <m/>
    <s v="Umum"/>
    <m/>
    <s v="C.13254"/>
    <m/>
    <s v="AZHARI"/>
    <m/>
    <s v="WAHYU PRATAMA"/>
    <m/>
    <s v="SERVICE HANDPHONE"/>
    <m/>
    <x v="1"/>
    <m/>
    <s v="MUSTOFA"/>
    <m/>
    <x v="1"/>
    <m/>
    <s v="WAHYU PRATAMA"/>
    <m/>
    <s v="BATERAI"/>
    <m/>
    <s v="VIVO"/>
    <m/>
    <s v="Y17"/>
    <m/>
    <s v="100256"/>
    <m/>
    <s v="FLOFV VIV Y17 Y15 Y12 Y3 Y11 2019"/>
    <m/>
    <n v="8536.5136610000009"/>
    <m/>
    <n v="1"/>
    <m/>
    <n v="20000"/>
    <m/>
    <n v="20000"/>
    <m/>
    <m/>
    <m/>
    <s v="N/A"/>
  </r>
  <r>
    <m/>
    <x v="17"/>
    <m/>
    <s v="MF-FP.25082"/>
    <m/>
    <s v="MF-ST.22591"/>
    <m/>
    <d v="2026-05-11T00:00:00"/>
    <m/>
    <s v="Umum"/>
    <m/>
    <s v="C.01661"/>
    <m/>
    <s v="Arif"/>
    <m/>
    <s v="WAHYU PRATAMA"/>
    <m/>
    <s v="SERVICE HANDPHONE"/>
    <m/>
    <x v="1"/>
    <m/>
    <s v="YUVI NOFERIANTO"/>
    <m/>
    <x v="4"/>
    <m/>
    <s v="WAHYU PRATAMA"/>
    <m/>
    <s v="LCD"/>
    <m/>
    <s v="VIVO"/>
    <m/>
    <s v="Y21"/>
    <m/>
    <s v="100172"/>
    <m/>
    <s v="LCD.. VIV Y21/Y21s/Y21a/Y16/Y02s B"/>
    <m/>
    <n v="120000"/>
    <m/>
    <n v="1"/>
    <m/>
    <n v="185000"/>
    <m/>
    <n v="185000"/>
    <m/>
    <m/>
    <m/>
    <s v="N/A"/>
  </r>
  <r>
    <m/>
    <x v="17"/>
    <m/>
    <s v="MF-FP.25082"/>
    <m/>
    <s v="MF-ST.22591"/>
    <m/>
    <d v="2026-05-11T00:00:00"/>
    <m/>
    <s v="Umum"/>
    <m/>
    <s v="C.01661"/>
    <m/>
    <s v="Arif"/>
    <m/>
    <s v="WAHYU PRATAMA"/>
    <m/>
    <s v="SERVICE HANDPHONE"/>
    <m/>
    <x v="2"/>
    <m/>
    <s v="YUVI NOFERIANTO"/>
    <m/>
    <x v="4"/>
    <m/>
    <s v="WAHYU PRATAMA"/>
    <m/>
    <s v="LCD"/>
    <m/>
    <s v="VIVO"/>
    <m/>
    <s v="Y21"/>
    <m/>
    <s v="AKOR-014"/>
    <m/>
    <s v="ORAIMO CABLE TYPE-C 2A OCD-114C"/>
    <m/>
    <n v="15000"/>
    <m/>
    <n v="1"/>
    <m/>
    <n v="15000"/>
    <m/>
    <n v="15000"/>
    <m/>
    <m/>
    <m/>
    <s v="N/A"/>
  </r>
  <r>
    <m/>
    <x v="17"/>
    <m/>
    <s v="MF-FP.25083"/>
    <m/>
    <s v="MF-ST.22593"/>
    <m/>
    <d v="2026-05-11T00:00:00"/>
    <m/>
    <s v="Member Reguler"/>
    <m/>
    <s v="C.05799"/>
    <m/>
    <s v="ANITA GUSTIAN"/>
    <m/>
    <s v="WAHYU PRATAMA"/>
    <m/>
    <s v="SERVICE HANDPHONE"/>
    <m/>
    <x v="0"/>
    <m/>
    <s v="MUSTOFA"/>
    <m/>
    <x v="1"/>
    <m/>
    <s v="WAHYU PRATAMA"/>
    <m/>
    <s v="LCD"/>
    <m/>
    <s v="OPPO"/>
    <m/>
    <s v="F11"/>
    <m/>
    <s v="JASA71"/>
    <m/>
    <s v="JASA REPAIR"/>
    <m/>
    <n v="0"/>
    <m/>
    <n v="1"/>
    <m/>
    <n v="110000"/>
    <m/>
    <n v="110000"/>
    <m/>
    <s v="Achmad Indrawanto"/>
    <m/>
    <s v="N/A"/>
  </r>
  <r>
    <m/>
    <x v="17"/>
    <m/>
    <s v="MF-FP.25084"/>
    <m/>
    <s v="MF-ST.22556"/>
    <m/>
    <d v="2026-05-09T00:00:00"/>
    <m/>
    <s v="Umum"/>
    <m/>
    <s v="C.13236"/>
    <m/>
    <s v="BAYU"/>
    <m/>
    <s v="HANIF"/>
    <m/>
    <s v="SERVICE HANDPHONE"/>
    <m/>
    <x v="0"/>
    <m/>
    <s v="YUVI NOFERIANTO"/>
    <m/>
    <x v="4"/>
    <m/>
    <s v="WAHYU PRATAMA"/>
    <m/>
    <s v="LCD"/>
    <m/>
    <s v="XIAOMI"/>
    <m/>
    <s v="Poco x5 5g"/>
    <m/>
    <s v="JASA71"/>
    <m/>
    <s v="JASA REPAIR"/>
    <m/>
    <n v="0"/>
    <m/>
    <n v="1"/>
    <m/>
    <n v="200000"/>
    <m/>
    <n v="200000"/>
    <m/>
    <s v="MUHAMAD NUR HANIF"/>
    <m/>
    <s v="N/A"/>
  </r>
  <r>
    <m/>
    <x v="17"/>
    <m/>
    <s v="MF-FP.25084"/>
    <m/>
    <s v="MF-ST.22556"/>
    <m/>
    <d v="2026-05-09T00:00:00"/>
    <m/>
    <s v="Umum"/>
    <m/>
    <s v="C.13236"/>
    <m/>
    <s v="BAYU"/>
    <m/>
    <s v="HANIF"/>
    <m/>
    <s v="SERVICE HANDPHONE"/>
    <m/>
    <x v="2"/>
    <m/>
    <s v="YUVI NOFERIANTO"/>
    <m/>
    <x v="4"/>
    <m/>
    <s v="WAHYU PRATAMA"/>
    <m/>
    <s v="LCD"/>
    <m/>
    <s v="XIAOMI"/>
    <m/>
    <s v="Poco x5 5g"/>
    <m/>
    <s v="AKOR-014"/>
    <m/>
    <s v="ORAIMO CABLE TYPE-C 2A OCD-114C"/>
    <m/>
    <n v="15000"/>
    <m/>
    <n v="1"/>
    <m/>
    <n v="15000"/>
    <m/>
    <n v="15000"/>
    <m/>
    <s v="MUHAMAD NUR HANIF"/>
    <m/>
    <s v="N/A"/>
  </r>
  <r>
    <m/>
    <x v="17"/>
    <m/>
    <s v="MF-FP.25082"/>
    <m/>
    <s v="MF-ST.22591"/>
    <m/>
    <d v="2026-05-11T00:00:00"/>
    <m/>
    <s v="Umum"/>
    <m/>
    <s v="C.01661"/>
    <m/>
    <s v="Arif"/>
    <m/>
    <s v="WAHYU PRATAMA"/>
    <m/>
    <s v="SERVICE HANDPHONE"/>
    <m/>
    <x v="0"/>
    <m/>
    <s v="YUVI NOFERIANTO"/>
    <m/>
    <x v="4"/>
    <m/>
    <s v="WAHYU PRATAMA"/>
    <m/>
    <s v="LCD"/>
    <m/>
    <s v="VIVO"/>
    <m/>
    <s v="Y21"/>
    <m/>
    <s v="JASA71"/>
    <m/>
    <s v="JASA REPAIR"/>
    <m/>
    <n v="0"/>
    <m/>
    <n v="1"/>
    <m/>
    <n v="200000"/>
    <m/>
    <n v="200000"/>
    <m/>
    <m/>
    <m/>
    <s v="N/A"/>
  </r>
  <r>
    <m/>
    <x v="17"/>
    <m/>
    <s v="MF-FP.25083"/>
    <m/>
    <s v="MF-ST.22593"/>
    <m/>
    <d v="2026-05-11T00:00:00"/>
    <m/>
    <s v="Member Reguler"/>
    <m/>
    <s v="C.05799"/>
    <m/>
    <s v="ANITA GUSTIAN"/>
    <m/>
    <s v="WAHYU PRATAMA"/>
    <m/>
    <s v="SERVICE HANDPHONE"/>
    <m/>
    <x v="1"/>
    <m/>
    <s v="MUSTOFA"/>
    <m/>
    <x v="1"/>
    <m/>
    <s v="WAHYU PRATAMA"/>
    <m/>
    <s v="LCD"/>
    <m/>
    <s v="OPPO"/>
    <m/>
    <s v="F11"/>
    <m/>
    <s v="100121"/>
    <m/>
    <s v="LCD.. OPP F11/A9 2019 B"/>
    <m/>
    <n v="138916.66666700001"/>
    <m/>
    <n v="1"/>
    <m/>
    <n v="148500"/>
    <m/>
    <n v="148500"/>
    <m/>
    <s v="Achmad Indrawanto"/>
    <m/>
    <s v="N/A"/>
  </r>
  <r>
    <m/>
    <x v="17"/>
    <m/>
    <s v="MF-FP.25087"/>
    <m/>
    <s v="MF-ST.22273"/>
    <m/>
    <d v="2026-04-29T00:00:00"/>
    <m/>
    <s v="Member Reguler"/>
    <m/>
    <s v="MR1109081"/>
    <m/>
    <s v="BANG RAHMAT"/>
    <m/>
    <s v="HANIF"/>
    <m/>
    <s v="SERVICE HANDPHONE"/>
    <m/>
    <x v="0"/>
    <m/>
    <s v="ARI MARWAN"/>
    <m/>
    <x v="0"/>
    <m/>
    <s v="WAHYU PRATAMA"/>
    <m/>
    <s v="BATERAI"/>
    <m/>
    <s v="SAMSUNG"/>
    <m/>
    <s v="Samsung S9 plus"/>
    <m/>
    <s v="JASA71"/>
    <m/>
    <s v="JASA REPAIR"/>
    <m/>
    <n v="0"/>
    <m/>
    <n v="1"/>
    <m/>
    <n v="100000"/>
    <m/>
    <n v="100000"/>
    <m/>
    <s v="MUHAMMAD RIZVANZAH ALFATH"/>
    <m/>
    <s v="N/A"/>
  </r>
  <r>
    <m/>
    <x v="17"/>
    <m/>
    <s v="MF-FP.25087"/>
    <m/>
    <s v="MF-ST.22273"/>
    <m/>
    <d v="2026-04-29T00:00:00"/>
    <m/>
    <s v="Member Reguler"/>
    <m/>
    <s v="MR1109081"/>
    <m/>
    <s v="BANG RAHMAT"/>
    <m/>
    <s v="HANIF"/>
    <m/>
    <s v="SERVICE HANDPHONE"/>
    <m/>
    <x v="2"/>
    <m/>
    <s v="ARI MARWAN"/>
    <m/>
    <x v="0"/>
    <m/>
    <s v="WAHYU PRATAMA"/>
    <m/>
    <s v="BATERAI"/>
    <m/>
    <s v="SAMSUNG"/>
    <m/>
    <s v="Samsung S9 plus"/>
    <m/>
    <s v="100025"/>
    <m/>
    <s v="VIVAN HYDROGEL BASIC CRYSTAL CLEAR VSP01T"/>
    <m/>
    <n v="11151.582562"/>
    <m/>
    <n v="1"/>
    <m/>
    <n v="50000"/>
    <m/>
    <n v="50000"/>
    <m/>
    <s v="MUHAMMAD RIZVANZAH ALFATH"/>
    <m/>
    <s v="N/A"/>
  </r>
  <r>
    <m/>
    <x v="17"/>
    <m/>
    <s v="MF-FP.25087"/>
    <m/>
    <s v="MF-ST.22273"/>
    <m/>
    <d v="2026-04-29T00:00:00"/>
    <m/>
    <s v="Member Reguler"/>
    <m/>
    <s v="MR1109081"/>
    <m/>
    <s v="BANG RAHMAT"/>
    <m/>
    <s v="HANIF"/>
    <m/>
    <s v="SERVICE HANDPHONE"/>
    <m/>
    <x v="1"/>
    <m/>
    <s v="ARI MARWAN"/>
    <m/>
    <x v="0"/>
    <m/>
    <s v="WAHYU PRATAMA"/>
    <m/>
    <s v="BATERAI"/>
    <m/>
    <s v="SAMSUNG"/>
    <m/>
    <s v="Samsung S9 plus"/>
    <m/>
    <s v="107235"/>
    <m/>
    <s v="BCKDR SAM S9 PLUS"/>
    <m/>
    <n v="28000"/>
    <m/>
    <n v="1"/>
    <m/>
    <n v="35000"/>
    <m/>
    <n v="35000"/>
    <m/>
    <s v="MUHAMMAD RIZVANZAH ALFATH"/>
    <m/>
    <s v="N/A"/>
  </r>
  <r>
    <m/>
    <x v="17"/>
    <m/>
    <s v="MF-FP.25085"/>
    <m/>
    <s v="MF-ST.22594"/>
    <m/>
    <d v="2026-05-11T00:00:00"/>
    <m/>
    <s v="Umum"/>
    <m/>
    <s v="C.13256"/>
    <m/>
    <s v="CITRA"/>
    <m/>
    <s v="WAHYU PRATAMA"/>
    <m/>
    <s v="SERVICE HANDPHONE"/>
    <m/>
    <x v="0"/>
    <m/>
    <s v="YUVI NOFERIANTO"/>
    <m/>
    <x v="4"/>
    <m/>
    <s v="WAHYU PRATAMA"/>
    <m/>
    <s v="FLEXIBEL CHARGER (PAPAN KONEKTOR)"/>
    <m/>
    <s v="SAMSUNG"/>
    <m/>
    <s v="M14"/>
    <m/>
    <s v="JASA71"/>
    <m/>
    <s v="JASA REPAIR"/>
    <m/>
    <n v="0"/>
    <m/>
    <n v="1"/>
    <m/>
    <n v="150000"/>
    <m/>
    <n v="150000"/>
    <m/>
    <m/>
    <m/>
    <s v="N/A"/>
  </r>
  <r>
    <m/>
    <x v="17"/>
    <m/>
    <s v="MF-FP.25085"/>
    <m/>
    <s v="MF-ST.22594"/>
    <m/>
    <d v="2026-05-11T00:00:00"/>
    <m/>
    <s v="Umum"/>
    <m/>
    <s v="C.13256"/>
    <m/>
    <s v="CITRA"/>
    <m/>
    <s v="WAHYU PRATAMA"/>
    <m/>
    <s v="SERVICE HANDPHONE"/>
    <m/>
    <x v="2"/>
    <m/>
    <s v="YUVI NOFERIANTO"/>
    <m/>
    <x v="4"/>
    <m/>
    <s v="WAHYU PRATAMA"/>
    <m/>
    <s v="FLEXIBEL CHARGER (PAPAN KONEKTOR)"/>
    <m/>
    <s v="SAMSUNG"/>
    <m/>
    <s v="M14"/>
    <m/>
    <s v="AKOR-014"/>
    <m/>
    <s v="ORAIMO CABLE TYPE-C 2A OCD-114C"/>
    <m/>
    <n v="15000"/>
    <m/>
    <n v="1"/>
    <m/>
    <n v="15000"/>
    <m/>
    <n v="15000"/>
    <m/>
    <m/>
    <m/>
    <s v="N/A"/>
  </r>
  <r>
    <m/>
    <x v="17"/>
    <m/>
    <s v="MF-FP.25085"/>
    <m/>
    <s v="MF-ST.22594"/>
    <m/>
    <d v="2026-05-11T00:00:00"/>
    <m/>
    <s v="Umum"/>
    <m/>
    <s v="C.13256"/>
    <m/>
    <s v="CITRA"/>
    <m/>
    <s v="WAHYU PRATAMA"/>
    <m/>
    <s v="SERVICE HANDPHONE"/>
    <m/>
    <x v="1"/>
    <m/>
    <s v="YUVI NOFERIANTO"/>
    <m/>
    <x v="4"/>
    <m/>
    <s v="WAHYU PRATAMA"/>
    <m/>
    <s v="FLEXIBEL CHARGER (PAPAN KONEKTOR)"/>
    <m/>
    <s v="SAMSUNG"/>
    <m/>
    <s v="M14"/>
    <m/>
    <s v="107238"/>
    <m/>
    <s v="FLCRG SAM M14"/>
    <m/>
    <n v="18081.081081"/>
    <m/>
    <n v="1"/>
    <m/>
    <n v="35000"/>
    <m/>
    <n v="35000"/>
    <m/>
    <m/>
    <m/>
    <s v="N/A"/>
  </r>
  <r>
    <m/>
    <x v="17"/>
    <m/>
    <s v="MF-FP.25087"/>
    <m/>
    <s v="MF-ST.22273"/>
    <m/>
    <d v="2026-04-29T00:00:00"/>
    <m/>
    <s v="Member Reguler"/>
    <m/>
    <s v="MR1109081"/>
    <m/>
    <s v="BANG RAHMAT"/>
    <m/>
    <s v="HANIF"/>
    <m/>
    <s v="SERVICE HANDPHONE"/>
    <m/>
    <x v="2"/>
    <m/>
    <s v="ARI MARWAN"/>
    <m/>
    <x v="0"/>
    <m/>
    <s v="WAHYU PRATAMA"/>
    <m/>
    <s v="BATERAI"/>
    <m/>
    <s v="SAMSUNG"/>
    <m/>
    <s v="Samsung S9 plus"/>
    <m/>
    <s v="AKOR-014"/>
    <m/>
    <s v="ORAIMO CABLE TYPE-C 2A OCD-114C"/>
    <m/>
    <n v="15000"/>
    <m/>
    <n v="1"/>
    <m/>
    <n v="15000"/>
    <m/>
    <n v="15000"/>
    <m/>
    <s v="MUHAMMAD RIZVANZAH ALFATH"/>
    <m/>
    <s v="N/A"/>
  </r>
  <r>
    <m/>
    <x v="17"/>
    <m/>
    <s v="MF-FP.25086"/>
    <m/>
    <s v="MF-ST.22597"/>
    <m/>
    <d v="2026-05-11T00:00:00"/>
    <m/>
    <s v="Member Reguler"/>
    <m/>
    <s v="C.13258"/>
    <m/>
    <s v="YOGA"/>
    <m/>
    <s v="Achmad Indrawanto"/>
    <m/>
    <s v="SERVICE LAPTOP"/>
    <m/>
    <x v="0"/>
    <m/>
    <s v="ARIFIN SANTOSO JATIMULYA"/>
    <m/>
    <x v="6"/>
    <m/>
    <s v="Achmad Indrawanto"/>
    <m/>
    <s v="CLEAN UP"/>
    <m/>
    <s v="LENOVO"/>
    <m/>
    <s v="Lenovo Ideapad Gaming 3"/>
    <m/>
    <s v="JASA71"/>
    <m/>
    <s v="JASA REPAIR"/>
    <m/>
    <n v="0"/>
    <m/>
    <n v="1"/>
    <m/>
    <n v="325000"/>
    <m/>
    <n v="325000"/>
    <m/>
    <s v="Achmad Indrawanto"/>
    <m/>
    <s v="N/A"/>
  </r>
  <r>
    <m/>
    <x v="17"/>
    <m/>
    <s v="MF-FP.25086"/>
    <m/>
    <s v="MF-ST.22597"/>
    <m/>
    <d v="2026-05-11T00:00:00"/>
    <m/>
    <s v="Member Reguler"/>
    <m/>
    <s v="C.13258"/>
    <m/>
    <s v="YOGA"/>
    <m/>
    <s v="Achmad Indrawanto"/>
    <m/>
    <s v="SERVICE LAPTOP"/>
    <m/>
    <x v="2"/>
    <m/>
    <s v="ARIFIN SANTOSO JATIMULYA"/>
    <m/>
    <x v="6"/>
    <m/>
    <s v="Achmad Indrawanto"/>
    <m/>
    <s v="CLEAN UP"/>
    <m/>
    <s v="LENOVO"/>
    <m/>
    <s v="Lenovo Ideapad Gaming 3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7"/>
    <m/>
    <s v="MF-FP.25090"/>
    <m/>
    <s v="MF-ST.22598"/>
    <m/>
    <d v="2026-05-11T00:00:00"/>
    <m/>
    <s v="Member Reguler"/>
    <m/>
    <s v="C.13259"/>
    <m/>
    <s v="PRAYITNO"/>
    <m/>
    <s v="Achmad Indrawanto"/>
    <m/>
    <s v="SERVICE HANDPHONE"/>
    <m/>
    <x v="0"/>
    <m/>
    <s v="YUVI NOFERIANTO"/>
    <m/>
    <x v="4"/>
    <m/>
    <s v="RIZKI RAMDHAN"/>
    <m/>
    <s v="REPAIR"/>
    <m/>
    <s v="SAMSUNG"/>
    <m/>
    <s v="Samsung a12"/>
    <m/>
    <s v="JASA71"/>
    <m/>
    <s v="JASA REPAIR"/>
    <m/>
    <n v="0"/>
    <m/>
    <n v="1"/>
    <m/>
    <n v="125000"/>
    <m/>
    <n v="125000"/>
    <m/>
    <s v="Achmad Indrawanto"/>
    <m/>
    <s v="N/A"/>
  </r>
  <r>
    <m/>
    <x v="17"/>
    <m/>
    <s v="MF-FP.25089"/>
    <m/>
    <s v="MF-ST.22599"/>
    <m/>
    <d v="2026-05-11T00:00:00"/>
    <m/>
    <s v="Member Reguler"/>
    <m/>
    <s v="C.13259"/>
    <m/>
    <s v="PRAYITNO"/>
    <m/>
    <s v="Achmad Indrawanto"/>
    <m/>
    <s v="SERVICE HANDPHONE"/>
    <m/>
    <x v="0"/>
    <m/>
    <s v="YUVI NOFERIANTO"/>
    <m/>
    <x v="4"/>
    <m/>
    <s v="Achmad Indrawanto"/>
    <m/>
    <s v="LCD"/>
    <m/>
    <s v="OPPO"/>
    <m/>
    <s v="Oppo a52"/>
    <m/>
    <s v="JASA71"/>
    <m/>
    <s v="JASA REPAIR"/>
    <m/>
    <n v="0"/>
    <m/>
    <n v="1"/>
    <m/>
    <n v="185000"/>
    <m/>
    <n v="185000"/>
    <m/>
    <s v="Achmad Indrawanto"/>
    <m/>
    <s v="N/A"/>
  </r>
  <r>
    <m/>
    <x v="17"/>
    <m/>
    <s v="MF-FP.25091"/>
    <m/>
    <s v="MF-ST.22573"/>
    <m/>
    <d v="2026-05-10T00:00:00"/>
    <m/>
    <s v="Member Reguler"/>
    <m/>
    <s v="C.13247"/>
    <m/>
    <s v="SABAR"/>
    <m/>
    <s v="Achmad Indrawanto"/>
    <m/>
    <s v="SERVICE HANDPHONE"/>
    <m/>
    <x v="0"/>
    <m/>
    <s v="YUVI NOFERIANTO"/>
    <m/>
    <x v="4"/>
    <m/>
    <s v="RIZKI RAMDHAN"/>
    <m/>
    <s v="REPAIR"/>
    <m/>
    <s v="SAMSUNG"/>
    <m/>
    <s v="Samsung a52"/>
    <m/>
    <s v="JASA71"/>
    <m/>
    <s v="JASA REPAIR"/>
    <m/>
    <n v="0"/>
    <m/>
    <n v="1"/>
    <m/>
    <n v="263000"/>
    <m/>
    <n v="263000"/>
    <m/>
    <s v="Achmad Indrawanto"/>
    <m/>
    <s v="N/A"/>
  </r>
  <r>
    <m/>
    <x v="17"/>
    <m/>
    <s v="MF-FP.25091"/>
    <m/>
    <s v="MF-ST.22573"/>
    <m/>
    <d v="2026-05-10T00:00:00"/>
    <m/>
    <s v="Member Reguler"/>
    <m/>
    <s v="C.13247"/>
    <m/>
    <s v="SABAR"/>
    <m/>
    <s v="Achmad Indrawanto"/>
    <m/>
    <s v="SERVICE HANDPHONE"/>
    <m/>
    <x v="2"/>
    <m/>
    <s v="YUVI NOFERIANTO"/>
    <m/>
    <x v="4"/>
    <m/>
    <s v="RIZKI RAMDHAN"/>
    <m/>
    <s v="REPAIR"/>
    <m/>
    <s v="SAMSUNG"/>
    <m/>
    <s v="Samsung a52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7"/>
    <m/>
    <s v="MF-FP.25089"/>
    <m/>
    <s v="MF-ST.22599"/>
    <m/>
    <d v="2026-05-11T00:00:00"/>
    <m/>
    <s v="Member Reguler"/>
    <m/>
    <s v="C.13259"/>
    <m/>
    <s v="PRAYITNO"/>
    <m/>
    <s v="Achmad Indrawanto"/>
    <m/>
    <s v="SERVICE HANDPHONE"/>
    <m/>
    <x v="1"/>
    <m/>
    <s v="YUVI NOFERIANTO"/>
    <m/>
    <x v="4"/>
    <m/>
    <s v="Achmad Indrawanto"/>
    <m/>
    <s v="LCD"/>
    <m/>
    <s v="OPPO"/>
    <m/>
    <s v="Oppo a52"/>
    <m/>
    <s v="100112"/>
    <m/>
    <s v="LCD.. OPP A52 A72 A92 2020 B FST"/>
    <m/>
    <n v="94625.599170999994"/>
    <m/>
    <n v="1"/>
    <m/>
    <n v="190000"/>
    <m/>
    <n v="190000"/>
    <m/>
    <s v="Achmad Indrawanto"/>
    <m/>
    <s v="N/A"/>
  </r>
  <r>
    <m/>
    <x v="17"/>
    <m/>
    <s v="MF-FP.25089"/>
    <m/>
    <s v="MF-ST.22599"/>
    <m/>
    <d v="2026-05-11T00:00:00"/>
    <m/>
    <s v="Member Reguler"/>
    <m/>
    <s v="C.13259"/>
    <m/>
    <s v="PRAYITNO"/>
    <m/>
    <s v="Achmad Indrawanto"/>
    <m/>
    <s v="SERVICE HANDPHONE"/>
    <m/>
    <x v="2"/>
    <m/>
    <s v="YUVI NOFERIANTO"/>
    <m/>
    <x v="4"/>
    <m/>
    <s v="Achmad Indrawanto"/>
    <m/>
    <s v="LCD"/>
    <m/>
    <s v="OPPO"/>
    <m/>
    <s v="Oppo a52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7"/>
    <m/>
    <s v="MF-FP.25090"/>
    <m/>
    <s v="MF-ST.22598"/>
    <m/>
    <d v="2026-05-11T00:00:00"/>
    <m/>
    <s v="Member Reguler"/>
    <m/>
    <s v="C.13259"/>
    <m/>
    <s v="PRAYITNO"/>
    <m/>
    <s v="Achmad Indrawanto"/>
    <m/>
    <s v="SERVICE HANDPHONE"/>
    <m/>
    <x v="2"/>
    <m/>
    <s v="YUVI NOFERIANTO"/>
    <m/>
    <x v="4"/>
    <m/>
    <s v="RIZKI RAMDHAN"/>
    <m/>
    <s v="REPAIR"/>
    <m/>
    <s v="SAMSUNG"/>
    <m/>
    <s v="Samsung a12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7"/>
    <m/>
    <s v="MF-FP.25092"/>
    <m/>
    <s v="MF-ST.22080"/>
    <m/>
    <d v="2026-04-21T00:00:00"/>
    <m/>
    <s v="Member Reguler"/>
    <m/>
    <s v="C.07279"/>
    <m/>
    <s v="JENNY"/>
    <m/>
    <s v="Achmad Indrawanto"/>
    <m/>
    <s v="SERVICE LAPTOP"/>
    <m/>
    <x v="0"/>
    <m/>
    <s v="ARIFIN SANTOSO JATIMULYA"/>
    <m/>
    <x v="6"/>
    <m/>
    <s v="Achmad Indrawanto"/>
    <m/>
    <s v="REPAIR"/>
    <m/>
    <s v="AXIO"/>
    <m/>
    <s v="AXIO SLIMBOOK 14 R6"/>
    <m/>
    <s v="JASA71"/>
    <m/>
    <s v="JASA REPAIR"/>
    <m/>
    <n v="0"/>
    <m/>
    <n v="1"/>
    <m/>
    <n v="225000"/>
    <m/>
    <n v="225000"/>
    <m/>
    <m/>
    <m/>
    <s v="N/A"/>
  </r>
  <r>
    <m/>
    <x v="17"/>
    <m/>
    <s v="MF-FP.25088"/>
    <m/>
    <s v="MF-ST.22521"/>
    <m/>
    <d v="2026-05-08T00:00:00"/>
    <m/>
    <s v="Umum"/>
    <m/>
    <s v="C.13226"/>
    <m/>
    <s v="PRAYOGA NUR SETIAWAN"/>
    <m/>
    <s v="HANIF"/>
    <m/>
    <s v="SERVICE HANDPHONE"/>
    <m/>
    <x v="0"/>
    <m/>
    <s v="ARI MARWAN"/>
    <m/>
    <x v="0"/>
    <m/>
    <s v="Achmad Indrawanto"/>
    <m/>
    <s v="REPAIR"/>
    <m/>
    <s v="VIVO"/>
    <m/>
    <s v="y22"/>
    <m/>
    <s v="JASA71"/>
    <m/>
    <s v="JASA REPAIR"/>
    <m/>
    <n v="0"/>
    <m/>
    <n v="1"/>
    <m/>
    <n v="133000"/>
    <m/>
    <n v="133000"/>
    <m/>
    <m/>
    <m/>
    <s v="N/A"/>
  </r>
  <r>
    <m/>
    <x v="17"/>
    <m/>
    <s v="MF-FP.25094"/>
    <m/>
    <s v="MF-ST.22603"/>
    <m/>
    <d v="2026-05-11T00:00:00"/>
    <m/>
    <s v="Member Reguler"/>
    <m/>
    <s v="C.13264"/>
    <m/>
    <s v="EL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5950"/>
    <m/>
    <s v="GAMEN GAMING MOUSE GM210"/>
    <m/>
    <n v="77915"/>
    <m/>
    <n v="1"/>
    <m/>
    <n v="120000"/>
    <m/>
    <n v="120000"/>
    <m/>
    <s v="Achmad Indrawanto"/>
    <m/>
    <s v="N/A"/>
  </r>
  <r>
    <m/>
    <x v="17"/>
    <m/>
    <s v="MF-FP.25084"/>
    <m/>
    <s v="MF-ST.22556"/>
    <m/>
    <d v="2026-05-09T00:00:00"/>
    <m/>
    <s v="Umum"/>
    <m/>
    <s v="C.13236"/>
    <m/>
    <s v="BAYU"/>
    <m/>
    <s v="HANIF"/>
    <m/>
    <s v="SERVICE HANDPHONE"/>
    <m/>
    <x v="1"/>
    <m/>
    <s v="YUVI NOFERIANTO"/>
    <m/>
    <x v="4"/>
    <m/>
    <s v="WAHYU PRATAMA"/>
    <m/>
    <s v="LCD"/>
    <m/>
    <s v="XIAOMI"/>
    <m/>
    <s v="Poco x5 5g"/>
    <m/>
    <s v="102029"/>
    <m/>
    <s v="LCD.. XIO REDMI NOTE 12/POCO X5 B"/>
    <m/>
    <n v="160394.08380399999"/>
    <m/>
    <n v="1"/>
    <m/>
    <n v="235000"/>
    <m/>
    <n v="235000"/>
    <m/>
    <s v="MUHAMAD NUR HANIF"/>
    <m/>
    <s v="N/A"/>
  </r>
  <r>
    <m/>
    <x v="17"/>
    <m/>
    <s v="MF-FP.25092"/>
    <m/>
    <s v="MF-ST.22080"/>
    <m/>
    <d v="2026-04-21T00:00:00"/>
    <m/>
    <s v="Member Reguler"/>
    <m/>
    <s v="C.07279"/>
    <m/>
    <s v="JENNY"/>
    <m/>
    <s v="Achmad Indrawanto"/>
    <m/>
    <s v="SERVICE LAPTOP"/>
    <m/>
    <x v="2"/>
    <m/>
    <s v="ARIFIN SANTOSO JATIMULYA"/>
    <m/>
    <x v="6"/>
    <m/>
    <s v="Achmad Indrawanto"/>
    <m/>
    <s v="REPAIR"/>
    <m/>
    <s v="AXIO"/>
    <m/>
    <s v="AXIO SLIMBOOK 14 R6"/>
    <m/>
    <s v="AKOR-014"/>
    <m/>
    <s v="ORAIMO CABLE TYPE-C 2A OCD-114C"/>
    <m/>
    <n v="15000"/>
    <m/>
    <n v="1"/>
    <m/>
    <n v="25000"/>
    <m/>
    <n v="25000"/>
    <m/>
    <m/>
    <m/>
    <s v="N/A"/>
  </r>
  <r>
    <m/>
    <x v="17"/>
    <m/>
    <s v="MF-FP.25093"/>
    <m/>
    <s v="MF-ST.22475"/>
    <m/>
    <d v="2026-05-06T00:00:00"/>
    <m/>
    <s v="Member Reguler"/>
    <m/>
    <s v="C.10441"/>
    <m/>
    <s v="DAFFA"/>
    <m/>
    <s v="WAHYU PRATAMA"/>
    <m/>
    <s v="SERVICE LAPTOP"/>
    <m/>
    <x v="0"/>
    <m/>
    <s v="ARIFIN SANTOSO JATIMULYA"/>
    <m/>
    <x v="6"/>
    <m/>
    <s v="Achmad Indrawanto"/>
    <m/>
    <s v="SOFTWARE"/>
    <m/>
    <s v="ASUS"/>
    <m/>
    <s v="Asus tuf f15"/>
    <m/>
    <s v="JASA71"/>
    <m/>
    <s v="JASA REPAIR"/>
    <m/>
    <n v="0"/>
    <m/>
    <n v="1"/>
    <m/>
    <n v="475000"/>
    <m/>
    <n v="475000"/>
    <m/>
    <s v="Muhammad Yusuf Rizha"/>
    <m/>
    <s v="N/A"/>
  </r>
  <r>
    <m/>
    <x v="17"/>
    <m/>
    <s v="MF-FP.25093"/>
    <m/>
    <s v="MF-ST.22475"/>
    <m/>
    <d v="2026-05-06T00:00:00"/>
    <m/>
    <s v="Member Reguler"/>
    <m/>
    <s v="C.10441"/>
    <m/>
    <s v="DAFFA"/>
    <m/>
    <s v="WAHYU PRATAMA"/>
    <m/>
    <s v="SERVICE LAPTOP"/>
    <m/>
    <x v="2"/>
    <m/>
    <s v="ARIFIN SANTOSO JATIMULYA"/>
    <m/>
    <x v="6"/>
    <m/>
    <s v="Achmad Indrawanto"/>
    <m/>
    <s v="SOFTWARE"/>
    <m/>
    <s v="ASUS"/>
    <m/>
    <s v="Asus tuf f15"/>
    <m/>
    <s v="AKOR-014"/>
    <m/>
    <s v="ORAIMO CABLE TYPE-C 2A OCD-114C"/>
    <m/>
    <n v="15000"/>
    <m/>
    <n v="1"/>
    <m/>
    <n v="25000"/>
    <m/>
    <n v="25000"/>
    <m/>
    <s v="Muhammad Yusuf Rizha"/>
    <m/>
    <s v="N/A"/>
  </r>
  <r>
    <m/>
    <x v="17"/>
    <m/>
    <s v="MF-FP.25095"/>
    <m/>
    <s v="MF-ST.22600"/>
    <m/>
    <d v="2026-05-11T00:00:00"/>
    <m/>
    <s v="Umum"/>
    <m/>
    <s v="C.13260"/>
    <m/>
    <s v="RIZKI"/>
    <m/>
    <s v="WAHYU PRATAMA"/>
    <m/>
    <s v="SERVICE LAPTOP"/>
    <m/>
    <x v="2"/>
    <m/>
    <s v="ARIFIN SANTOSO JATIMULYA"/>
    <m/>
    <x v="6"/>
    <m/>
    <s v="Achmad Indrawanto"/>
    <m/>
    <s v="CLEAN UP"/>
    <m/>
    <s v="ACER"/>
    <m/>
    <s v="ASPIRE 5 14"/>
    <m/>
    <s v="AKOR-014"/>
    <m/>
    <s v="ORAIMO CABLE TYPE-C 2A OCD-114C"/>
    <m/>
    <n v="15000"/>
    <m/>
    <n v="1"/>
    <m/>
    <n v="25000"/>
    <m/>
    <n v="25000"/>
    <m/>
    <m/>
    <m/>
    <s v="N/A"/>
  </r>
  <r>
    <m/>
    <x v="17"/>
    <m/>
    <s v="MF-FP.25095"/>
    <m/>
    <s v="MF-ST.22600"/>
    <m/>
    <d v="2026-05-11T00:00:00"/>
    <m/>
    <s v="Umum"/>
    <m/>
    <s v="C.13260"/>
    <m/>
    <s v="RIZKI"/>
    <m/>
    <s v="WAHYU PRATAMA"/>
    <m/>
    <s v="SERVICE LAPTOP"/>
    <m/>
    <x v="0"/>
    <m/>
    <s v="ARIFIN SANTOSO JATIMULYA"/>
    <m/>
    <x v="6"/>
    <m/>
    <s v="Achmad Indrawanto"/>
    <m/>
    <s v="CLEAN UP"/>
    <m/>
    <s v="ACER"/>
    <m/>
    <s v="ASPIRE 5 14"/>
    <m/>
    <s v="JASA71"/>
    <m/>
    <s v="JASA REPAIR"/>
    <m/>
    <n v="0"/>
    <m/>
    <n v="1"/>
    <m/>
    <n v="225000"/>
    <m/>
    <n v="225000"/>
    <m/>
    <m/>
    <m/>
    <s v="N/A"/>
  </r>
  <r>
    <m/>
    <x v="17"/>
    <m/>
    <s v="MF-FP.25096"/>
    <m/>
    <s v="MF-ST.22572"/>
    <m/>
    <d v="2026-05-10T00:00:00"/>
    <m/>
    <s v="Member Reguler"/>
    <m/>
    <s v="C.13246"/>
    <m/>
    <s v="ROSI"/>
    <m/>
    <s v="Achmad Indrawanto"/>
    <m/>
    <s v="SERVICE HANDPHONE"/>
    <m/>
    <x v="2"/>
    <m/>
    <s v="ARI MARWAN"/>
    <m/>
    <x v="0"/>
    <m/>
    <s v="Achmad Indrawanto"/>
    <m/>
    <s v="REPAIR"/>
    <m/>
    <s v="SAMSUNG"/>
    <m/>
    <s v="Samsung A33 5G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7"/>
    <m/>
    <s v="MF-FP.25097"/>
    <m/>
    <s v="MF-ST.22604"/>
    <m/>
    <d v="2026-05-11T00:00:00"/>
    <m/>
    <s v="Member Reguler"/>
    <m/>
    <s v="C.13263"/>
    <m/>
    <s v="IBU PUJI"/>
    <m/>
    <s v="Achmad Indrawanto"/>
    <m/>
    <s v="SERVICE HANDPHONE"/>
    <m/>
    <x v="0"/>
    <m/>
    <s v="ARI MARWAN"/>
    <m/>
    <x v="0"/>
    <m/>
    <s v="Achmad Indrawanto"/>
    <m/>
    <s v="LCD"/>
    <m/>
    <s v="SAMSUNG"/>
    <m/>
    <s v="A14 5G"/>
    <m/>
    <s v="JASA71"/>
    <m/>
    <s v="JASA REPAIR"/>
    <m/>
    <n v="0"/>
    <m/>
    <n v="1"/>
    <m/>
    <n v="150000"/>
    <m/>
    <n v="150000"/>
    <m/>
    <s v="Achmad Indrawanto"/>
    <m/>
    <s v="N/A"/>
  </r>
  <r>
    <m/>
    <x v="17"/>
    <m/>
    <s v="MF-FP.25097"/>
    <m/>
    <s v="MF-ST.22604"/>
    <m/>
    <d v="2026-05-11T00:00:00"/>
    <m/>
    <s v="Member Reguler"/>
    <m/>
    <s v="C.13263"/>
    <m/>
    <s v="IBU PUJI"/>
    <m/>
    <s v="Achmad Indrawanto"/>
    <m/>
    <s v="SERVICE HANDPHONE"/>
    <m/>
    <x v="1"/>
    <m/>
    <s v="ARI MARWAN"/>
    <m/>
    <x v="0"/>
    <m/>
    <s v="Achmad Indrawanto"/>
    <m/>
    <s v="LCD"/>
    <m/>
    <s v="SAMSUNG"/>
    <m/>
    <s v="A14 5G"/>
    <m/>
    <s v="104899"/>
    <m/>
    <s v="LCD.. SAM A14 5G SMALL B"/>
    <m/>
    <n v="124955.027776"/>
    <m/>
    <n v="1"/>
    <m/>
    <n v="300000"/>
    <m/>
    <n v="300000"/>
    <m/>
    <s v="Achmad Indrawanto"/>
    <m/>
    <s v="N/A"/>
  </r>
  <r>
    <m/>
    <x v="17"/>
    <m/>
    <s v="MF-FP.25097"/>
    <m/>
    <s v="MF-ST.22604"/>
    <m/>
    <d v="2026-05-11T00:00:00"/>
    <m/>
    <s v="Member Reguler"/>
    <m/>
    <s v="C.13263"/>
    <m/>
    <s v="IBU PUJI"/>
    <m/>
    <s v="Achmad Indrawanto"/>
    <m/>
    <s v="SERVICE HANDPHONE"/>
    <m/>
    <x v="2"/>
    <m/>
    <s v="ARI MARWAN"/>
    <m/>
    <x v="0"/>
    <m/>
    <s v="Achmad Indrawanto"/>
    <m/>
    <s v="LCD"/>
    <m/>
    <s v="SAMSUNG"/>
    <m/>
    <s v="A14 5G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7"/>
    <m/>
    <s v="MF-FP.25194"/>
    <m/>
    <s v="MF-ST.22702"/>
    <m/>
    <d v="2026-05-11T00:00:00"/>
    <m/>
    <s v="Member Reguler"/>
    <m/>
    <s v="C.03198"/>
    <m/>
    <s v="PAK ADI"/>
    <m/>
    <s v="N/A"/>
    <m/>
    <s v="N/A"/>
    <m/>
    <x v="1"/>
    <m/>
    <s v="N/A"/>
    <m/>
    <x v="5"/>
    <m/>
    <s v="N/A"/>
    <m/>
    <s v="LCD"/>
    <m/>
    <s v="INFINIX"/>
    <m/>
    <s v="SMART 5"/>
    <m/>
    <s v="100274"/>
    <m/>
    <s v="LCD.. INF SMART 5/HOT 10 LITE X657/ITEL VISION 1 PRO B"/>
    <m/>
    <n v="235925.925926"/>
    <m/>
    <n v="2"/>
    <m/>
    <n v="138000"/>
    <m/>
    <n v="276000"/>
    <m/>
    <s v="TEGAR PUTRA YANSA SALES"/>
    <m/>
    <s v="N/A"/>
  </r>
  <r>
    <m/>
    <x v="17"/>
    <m/>
    <s v="MF-FP.25088"/>
    <m/>
    <s v="MF-ST.22521"/>
    <m/>
    <d v="2026-05-08T00:00:00"/>
    <m/>
    <s v="Umum"/>
    <m/>
    <s v="C.13226"/>
    <m/>
    <s v="PRAYOGA NUR SETIAWAN"/>
    <m/>
    <s v="HANIF"/>
    <m/>
    <s v="SERVICE HANDPHONE"/>
    <m/>
    <x v="2"/>
    <m/>
    <s v="ARI MARWAN"/>
    <m/>
    <x v="0"/>
    <m/>
    <s v="Achmad Indrawanto"/>
    <m/>
    <s v="REPAIR"/>
    <m/>
    <s v="VIVO"/>
    <m/>
    <s v="y22"/>
    <m/>
    <s v="100024"/>
    <m/>
    <s v="VIVAN HYDROGEL BASIC ANTI GLARE VSP03T"/>
    <m/>
    <n v="14190.080550000001"/>
    <m/>
    <n v="1"/>
    <m/>
    <n v="40000"/>
    <m/>
    <n v="40000"/>
    <m/>
    <m/>
    <m/>
    <s v="N/A"/>
  </r>
  <r>
    <m/>
    <x v="17"/>
    <m/>
    <s v="MF-FP.25088"/>
    <m/>
    <m/>
    <m/>
    <m/>
    <m/>
    <m/>
    <m/>
    <s v="C.13226"/>
    <m/>
    <s v="PRAYOGA NUR SETIAWAN"/>
    <m/>
    <m/>
    <m/>
    <s v="SERVICE HANDPHONE"/>
    <m/>
    <x v="1"/>
    <m/>
    <m/>
    <m/>
    <x v="0"/>
    <m/>
    <s v="Achmad Indrawanto"/>
    <m/>
    <m/>
    <m/>
    <m/>
    <m/>
    <m/>
    <m/>
    <s v="107261"/>
    <m/>
    <s v="BCKDR VIV Y22"/>
    <m/>
    <n v="48300"/>
    <m/>
    <n v="1"/>
    <m/>
    <n v="77000"/>
    <m/>
    <n v="77000"/>
    <m/>
    <m/>
    <m/>
    <s v="N/A"/>
  </r>
  <r>
    <m/>
    <x v="17"/>
    <m/>
    <s v="MF-FP.25091"/>
    <m/>
    <m/>
    <m/>
    <m/>
    <m/>
    <m/>
    <m/>
    <s v="C.13247"/>
    <m/>
    <s v="SABAR"/>
    <m/>
    <m/>
    <m/>
    <s v="SERVICE HANDPHONE"/>
    <m/>
    <x v="1"/>
    <m/>
    <m/>
    <m/>
    <x v="4"/>
    <m/>
    <s v="RIZKI RAMDHAN"/>
    <m/>
    <m/>
    <m/>
    <m/>
    <m/>
    <m/>
    <m/>
    <s v="105596"/>
    <m/>
    <s v="LCD.. SAM TAB A9 SM-X115 X110 B"/>
    <m/>
    <n v="255000"/>
    <m/>
    <n v="1"/>
    <m/>
    <n v="312000"/>
    <m/>
    <n v="312000"/>
    <m/>
    <s v="Achmad Indrawanto"/>
    <m/>
    <s v="N/A"/>
  </r>
  <r>
    <m/>
    <x v="18"/>
    <m/>
    <s v="MF-FP.25098"/>
    <m/>
    <s v="MF-ST.22334"/>
    <m/>
    <d v="2026-05-01T00:00:00"/>
    <m/>
    <s v="Umum"/>
    <m/>
    <s v="C.13145"/>
    <m/>
    <s v="ZEO"/>
    <m/>
    <s v="WAHYU PRATAMA"/>
    <m/>
    <s v="SERVICE HANDPHONE"/>
    <m/>
    <x v="0"/>
    <m/>
    <s v="EKO RISDIYANTORO JATIMULYA"/>
    <m/>
    <x v="2"/>
    <m/>
    <s v="Achmad Indrawanto"/>
    <m/>
    <s v="MATI TOTAL"/>
    <m/>
    <s v="APPLE"/>
    <m/>
    <s v="IPH 15"/>
    <m/>
    <s v="JASA71"/>
    <m/>
    <s v="JASA REPAIR"/>
    <m/>
    <n v="0"/>
    <m/>
    <n v="1"/>
    <m/>
    <n v="25000"/>
    <m/>
    <n v="25000"/>
    <m/>
    <m/>
    <m/>
    <s v="N/A"/>
  </r>
  <r>
    <m/>
    <x v="18"/>
    <m/>
    <s v="MF-FP.25099"/>
    <m/>
    <s v="MF-ST.22554"/>
    <m/>
    <d v="2026-05-09T00:00:00"/>
    <m/>
    <s v="Umum"/>
    <m/>
    <s v="C.12855"/>
    <m/>
    <s v="NOVIA"/>
    <m/>
    <s v="Achmad Indrawanto"/>
    <m/>
    <s v="SERVICE HANDPHONE"/>
    <m/>
    <x v="0"/>
    <m/>
    <s v="ARI MARWAN"/>
    <m/>
    <x v="0"/>
    <m/>
    <s v="Achmad Indrawanto"/>
    <m/>
    <s v="BATERAI"/>
    <m/>
    <s v="SAMSUNG"/>
    <m/>
    <s v="S22 plus"/>
    <m/>
    <s v="JASA71"/>
    <m/>
    <s v="JASA REPAIR"/>
    <m/>
    <n v="0"/>
    <m/>
    <n v="1"/>
    <m/>
    <n v="175000"/>
    <m/>
    <n v="175000"/>
    <m/>
    <m/>
    <m/>
    <s v="N/A"/>
  </r>
  <r>
    <m/>
    <x v="18"/>
    <m/>
    <s v="MF-FP.25099"/>
    <m/>
    <s v="MF-ST.22554"/>
    <m/>
    <d v="2026-05-09T00:00:00"/>
    <m/>
    <s v="Umum"/>
    <m/>
    <s v="C.12855"/>
    <m/>
    <s v="NOVIA"/>
    <m/>
    <s v="Achmad Indrawanto"/>
    <m/>
    <s v="SERVICE HANDPHONE"/>
    <m/>
    <x v="2"/>
    <m/>
    <s v="ARI MARWAN"/>
    <m/>
    <x v="0"/>
    <m/>
    <s v="Achmad Indrawanto"/>
    <m/>
    <s v="BATERAI"/>
    <m/>
    <s v="SAMSUNG"/>
    <m/>
    <s v="S22 plus"/>
    <m/>
    <s v="AKOR-014"/>
    <m/>
    <s v="ORAIMO CABLE TYPE-C 2A OCD-114C"/>
    <m/>
    <n v="15000"/>
    <m/>
    <n v="1"/>
    <m/>
    <n v="25000"/>
    <m/>
    <n v="25000"/>
    <m/>
    <m/>
    <m/>
    <s v="N/A"/>
  </r>
  <r>
    <m/>
    <x v="18"/>
    <m/>
    <s v="MF-FP.25100"/>
    <m/>
    <s v="MF-ST.22609"/>
    <m/>
    <d v="2026-05-12T00:00:00"/>
    <m/>
    <s v="Member Reguler"/>
    <m/>
    <s v="C.13267"/>
    <m/>
    <s v="BRAM"/>
    <m/>
    <s v="Achmad Indrawanto"/>
    <m/>
    <s v="SERVICE HANDPHONE"/>
    <m/>
    <x v="0"/>
    <m/>
    <s v="EKO RISDIYANTORO JATIMULYA"/>
    <m/>
    <x v="2"/>
    <m/>
    <s v="Achmad Indrawanto"/>
    <m/>
    <s v="FLEXIBEL CHARGER (PAPAN KONEKTOR)"/>
    <m/>
    <s v="VIVO"/>
    <m/>
    <s v="vivo y12s"/>
    <m/>
    <s v="JASA71"/>
    <m/>
    <s v="JASA REPAIR"/>
    <m/>
    <n v="0"/>
    <m/>
    <n v="1"/>
    <m/>
    <n v="145000"/>
    <m/>
    <n v="145000"/>
    <m/>
    <s v="Achmad Indrawanto"/>
    <m/>
    <s v="N/A"/>
  </r>
  <r>
    <m/>
    <x v="18"/>
    <m/>
    <s v="MF-FP.25100"/>
    <m/>
    <s v="MF-ST.22609"/>
    <m/>
    <d v="2026-05-12T00:00:00"/>
    <m/>
    <s v="Member Reguler"/>
    <m/>
    <s v="C.13267"/>
    <m/>
    <s v="BRAM"/>
    <m/>
    <s v="Achmad Indrawanto"/>
    <m/>
    <s v="SERVICE HANDPHONE"/>
    <m/>
    <x v="1"/>
    <m/>
    <s v="EKO RISDIYANTORO JATIMULYA"/>
    <m/>
    <x v="2"/>
    <m/>
    <s v="Achmad Indrawanto"/>
    <m/>
    <s v="FLEXIBEL CHARGER (PAPAN KONEKTOR)"/>
    <m/>
    <s v="VIVO"/>
    <m/>
    <s v="vivo y12s"/>
    <m/>
    <s v="100411"/>
    <m/>
    <s v="FLCRG VIV Y20 / Y20S / Y20i / Y12S"/>
    <m/>
    <n v="22500"/>
    <m/>
    <n v="1"/>
    <m/>
    <n v="30000"/>
    <m/>
    <n v="30000"/>
    <m/>
    <s v="Achmad Indrawanto"/>
    <m/>
    <s v="N/A"/>
  </r>
  <r>
    <m/>
    <x v="18"/>
    <m/>
    <s v="MF-FP.25101"/>
    <m/>
    <m/>
    <m/>
    <m/>
    <m/>
    <m/>
    <m/>
    <s v="C.13268"/>
    <m/>
    <s v="MEGA"/>
    <m/>
    <m/>
    <m/>
    <s v="PENJUALAN AKSESORIS"/>
    <m/>
    <x v="2"/>
    <m/>
    <m/>
    <m/>
    <x v="5"/>
    <m/>
    <s v="Achmad Indrawanto"/>
    <m/>
    <m/>
    <m/>
    <m/>
    <m/>
    <m/>
    <m/>
    <s v="100024"/>
    <m/>
    <s v="VIVAN HYDROGEL BASIC ANTI GLARE VSP03T"/>
    <m/>
    <n v="14190.080550000001"/>
    <m/>
    <n v="1"/>
    <m/>
    <n v="75000"/>
    <m/>
    <n v="75000"/>
    <m/>
    <m/>
    <m/>
    <s v="N/A"/>
  </r>
  <r>
    <m/>
    <x v="18"/>
    <m/>
    <s v="MF-FP.25100"/>
    <m/>
    <s v="MF-ST.22609"/>
    <m/>
    <d v="2026-05-12T00:00:00"/>
    <m/>
    <s v="Member Reguler"/>
    <m/>
    <s v="C.13267"/>
    <m/>
    <s v="BRAM"/>
    <m/>
    <s v="Achmad Indrawanto"/>
    <m/>
    <s v="SERVICE HANDPHONE"/>
    <m/>
    <x v="2"/>
    <m/>
    <s v="EKO RISDIYANTORO JATIMULYA"/>
    <m/>
    <x v="2"/>
    <m/>
    <s v="Achmad Indrawanto"/>
    <m/>
    <s v="FLEXIBEL CHARGER (PAPAN KONEKTOR)"/>
    <m/>
    <s v="VIVO"/>
    <m/>
    <s v="vivo y12s"/>
    <m/>
    <s v="AKOR-014"/>
    <m/>
    <s v="ORAIMO CABLE TYPE-C 2A OCD-114C"/>
    <m/>
    <n v="15000"/>
    <m/>
    <n v="1"/>
    <m/>
    <n v="25000"/>
    <m/>
    <n v="25000"/>
    <m/>
    <s v="Achmad Indrawanto"/>
    <m/>
    <s v="N/A"/>
  </r>
  <r>
    <m/>
    <x v="18"/>
    <m/>
    <s v="MF-FP.25102"/>
    <m/>
    <s v="MF-ST.22492"/>
    <m/>
    <d v="2026-05-07T00:00:00"/>
    <m/>
    <s v="Member Reguler"/>
    <m/>
    <s v="C.13213"/>
    <m/>
    <s v="AYU"/>
    <m/>
    <s v="Achmad Indrawanto"/>
    <m/>
    <s v="SERVICE LAPTOP"/>
    <m/>
    <x v="0"/>
    <m/>
    <s v="ARIFIN SANTOSO JATIMULYA"/>
    <m/>
    <x v="6"/>
    <m/>
    <s v="HANIF"/>
    <m/>
    <s v="REPAIR"/>
    <m/>
    <s v="LENOVO"/>
    <m/>
    <s v="Lenovo v510"/>
    <m/>
    <s v="JASA71"/>
    <m/>
    <s v="JASA REPAIR"/>
    <m/>
    <n v="0"/>
    <m/>
    <n v="1"/>
    <m/>
    <n v="230000"/>
    <m/>
    <n v="230000"/>
    <m/>
    <s v="Achmad Indrawanto"/>
    <m/>
    <s v="N/A"/>
  </r>
  <r>
    <m/>
    <x v="18"/>
    <m/>
    <s v="MF-FP.25102"/>
    <m/>
    <s v="MF-ST.22492"/>
    <m/>
    <d v="2026-05-07T00:00:00"/>
    <m/>
    <s v="Member Reguler"/>
    <m/>
    <s v="C.13213"/>
    <m/>
    <s v="AYU"/>
    <m/>
    <s v="Achmad Indrawanto"/>
    <m/>
    <s v="SERVICE LAPTOP"/>
    <m/>
    <x v="2"/>
    <m/>
    <s v="ARIFIN SANTOSO JATIMULYA"/>
    <m/>
    <x v="6"/>
    <m/>
    <s v="HANIF"/>
    <m/>
    <s v="REPAIR"/>
    <m/>
    <s v="LENOVO"/>
    <m/>
    <s v="Lenovo v510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18"/>
    <m/>
    <s v="MF-FP.25103"/>
    <m/>
    <s v="MF-ST.22588"/>
    <m/>
    <d v="2026-05-11T00:00:00"/>
    <m/>
    <s v="Umum"/>
    <m/>
    <s v="C.08074"/>
    <m/>
    <s v="KUSWANTO"/>
    <m/>
    <s v="WAHYU PRATAMA"/>
    <m/>
    <s v="SERVICE HANDPHONE"/>
    <m/>
    <x v="0"/>
    <m/>
    <s v="MUSTOFA"/>
    <m/>
    <x v="1"/>
    <m/>
    <s v="HANIF"/>
    <m/>
    <s v="LCD"/>
    <m/>
    <s v="XIAOMI"/>
    <m/>
    <s v="NOTE 8 PRO"/>
    <m/>
    <s v="JASA71"/>
    <m/>
    <s v="JASA REPAIR"/>
    <m/>
    <n v="0"/>
    <m/>
    <n v="1"/>
    <m/>
    <n v="205000"/>
    <m/>
    <n v="205000"/>
    <m/>
    <m/>
    <m/>
    <s v="N/A"/>
  </r>
  <r>
    <m/>
    <x v="18"/>
    <m/>
    <s v="MF-FP.25103"/>
    <m/>
    <s v="MF-ST.22588"/>
    <m/>
    <d v="2026-05-11T00:00:00"/>
    <m/>
    <s v="Umum"/>
    <m/>
    <s v="C.08074"/>
    <m/>
    <s v="KUSWANTO"/>
    <m/>
    <s v="WAHYU PRATAMA"/>
    <m/>
    <s v="SERVICE HANDPHONE"/>
    <m/>
    <x v="1"/>
    <m/>
    <s v="MUSTOFA"/>
    <m/>
    <x v="1"/>
    <m/>
    <s v="HANIF"/>
    <m/>
    <s v="LCD"/>
    <m/>
    <s v="XIAOMI"/>
    <m/>
    <s v="NOTE 8 PRO"/>
    <m/>
    <s v="100124"/>
    <m/>
    <s v="LCD.. XIO REDMI NOTE 8 PRO B FST"/>
    <m/>
    <n v="128828.571428"/>
    <m/>
    <n v="1"/>
    <m/>
    <n v="170000"/>
    <m/>
    <n v="170000"/>
    <m/>
    <m/>
    <m/>
    <s v="N/A"/>
  </r>
  <r>
    <m/>
    <x v="18"/>
    <m/>
    <s v="MF-FP.25103"/>
    <m/>
    <s v="MF-ST.22588"/>
    <m/>
    <d v="2026-05-11T00:00:00"/>
    <m/>
    <s v="Umum"/>
    <m/>
    <s v="C.08074"/>
    <m/>
    <s v="KUSWANTO"/>
    <m/>
    <s v="WAHYU PRATAMA"/>
    <m/>
    <s v="SERVICE HANDPHONE"/>
    <m/>
    <x v="2"/>
    <m/>
    <s v="MUSTOFA"/>
    <m/>
    <x v="1"/>
    <m/>
    <s v="HANIF"/>
    <m/>
    <s v="LCD"/>
    <m/>
    <s v="XIAOMI"/>
    <m/>
    <s v="NOTE 8 PRO"/>
    <m/>
    <s v="AKOR-014"/>
    <m/>
    <s v="ORAIMO CABLE TYPE-C 2A OCD-114C"/>
    <m/>
    <n v="15000"/>
    <m/>
    <n v="1"/>
    <m/>
    <n v="25000"/>
    <m/>
    <n v="25000"/>
    <m/>
    <m/>
    <m/>
    <s v="N/A"/>
  </r>
  <r>
    <m/>
    <x v="18"/>
    <m/>
    <s v="MF-FP.25123"/>
    <m/>
    <s v="MF-ST.22629"/>
    <m/>
    <d v="2026-05-12T00:00:00"/>
    <m/>
    <s v="Member Reguler"/>
    <m/>
    <s v="C.13280"/>
    <m/>
    <s v="DIAN KURNIAWAN"/>
    <m/>
    <s v="HANIF"/>
    <m/>
    <s v="SERVICE HANDPHONE"/>
    <m/>
    <x v="0"/>
    <m/>
    <s v="MUSTOFA"/>
    <m/>
    <x v="1"/>
    <m/>
    <s v="HANIF"/>
    <m/>
    <s v="LCD"/>
    <m/>
    <s v="XIAOMI"/>
    <m/>
    <s v="REDMI NOTE 8 PRO"/>
    <m/>
    <s v="JASA71"/>
    <m/>
    <s v="JASA REPAIR"/>
    <m/>
    <n v="0"/>
    <m/>
    <n v="1"/>
    <m/>
    <n v="280000"/>
    <m/>
    <n v="280000"/>
    <m/>
    <s v="HANIF"/>
    <m/>
    <s v="N/A"/>
  </r>
  <r>
    <m/>
    <x v="18"/>
    <m/>
    <s v="MF-FP.25123"/>
    <m/>
    <s v="MF-ST.22629"/>
    <m/>
    <d v="2026-05-12T00:00:00"/>
    <m/>
    <s v="Member Reguler"/>
    <m/>
    <s v="C.13280"/>
    <m/>
    <s v="DIAN KURNIAWAN"/>
    <m/>
    <s v="HANIF"/>
    <m/>
    <s v="SERVICE HANDPHONE"/>
    <m/>
    <x v="1"/>
    <m/>
    <s v="MUSTOFA"/>
    <m/>
    <x v="1"/>
    <m/>
    <s v="HANIF"/>
    <m/>
    <s v="LCD"/>
    <m/>
    <s v="XIAOMI"/>
    <m/>
    <s v="REDMI NOTE 8 PRO"/>
    <m/>
    <s v="100124"/>
    <m/>
    <s v="LCD.. XIO REDMI NOTE 8 PRO B FST"/>
    <m/>
    <n v="128828.571428"/>
    <m/>
    <n v="1"/>
    <m/>
    <n v="170000"/>
    <m/>
    <n v="170000"/>
    <m/>
    <s v="HANIF"/>
    <m/>
    <s v="N/A"/>
  </r>
  <r>
    <m/>
    <x v="18"/>
    <m/>
    <s v="MF-FP.25104"/>
    <m/>
    <s v="MF-ST.22510"/>
    <m/>
    <d v="2026-05-08T00:00:00"/>
    <m/>
    <s v="Umum"/>
    <m/>
    <s v="C.13222"/>
    <m/>
    <s v="ANDRI WAHYUDI"/>
    <m/>
    <s v="WAHYU PRATAMA"/>
    <m/>
    <s v="SERVICE HANDPHONE"/>
    <m/>
    <x v="0"/>
    <m/>
    <s v="YUVI NOFERIANTO"/>
    <m/>
    <x v="4"/>
    <m/>
    <s v="HANIF"/>
    <m/>
    <s v="LCD"/>
    <m/>
    <s v="SAMSUNG"/>
    <m/>
    <s v="A9"/>
    <m/>
    <s v="JASA71"/>
    <m/>
    <s v="JASA REPAIR"/>
    <m/>
    <n v="0"/>
    <m/>
    <n v="1"/>
    <m/>
    <n v="330000"/>
    <m/>
    <n v="330000"/>
    <m/>
    <m/>
    <m/>
    <s v="N/A"/>
  </r>
  <r>
    <m/>
    <x v="18"/>
    <m/>
    <s v="MF-FP.25104"/>
    <m/>
    <s v="MF-ST.22510"/>
    <m/>
    <d v="2026-05-08T00:00:00"/>
    <m/>
    <s v="Umum"/>
    <m/>
    <s v="C.13222"/>
    <m/>
    <s v="ANDRI WAHYUDI"/>
    <m/>
    <s v="WAHYU PRATAMA"/>
    <m/>
    <s v="SERVICE HANDPHONE"/>
    <m/>
    <x v="1"/>
    <m/>
    <s v="YUVI NOFERIANTO"/>
    <m/>
    <x v="4"/>
    <m/>
    <s v="HANIF"/>
    <m/>
    <s v="LCD"/>
    <m/>
    <s v="SAMSUNG"/>
    <m/>
    <s v="A9"/>
    <m/>
    <s v="105596"/>
    <m/>
    <s v="LCD.. SAM TAB A9 SM-X115 X110 B"/>
    <m/>
    <n v="255000"/>
    <m/>
    <n v="1"/>
    <m/>
    <n v="300000"/>
    <m/>
    <n v="300000"/>
    <m/>
    <m/>
    <m/>
    <s v="N/A"/>
  </r>
  <r>
    <m/>
    <x v="18"/>
    <m/>
    <s v="MF-FP.25104"/>
    <m/>
    <s v="MF-ST.22510"/>
    <m/>
    <d v="2026-05-08T00:00:00"/>
    <m/>
    <s v="Umum"/>
    <m/>
    <s v="C.13222"/>
    <m/>
    <s v="ANDRI WAHYUDI"/>
    <m/>
    <s v="WAHYU PRATAMA"/>
    <m/>
    <s v="SERVICE HANDPHONE"/>
    <m/>
    <x v="2"/>
    <m/>
    <s v="YUVI NOFERIANTO"/>
    <m/>
    <x v="4"/>
    <m/>
    <s v="HANIF"/>
    <m/>
    <s v="LCD"/>
    <m/>
    <s v="SAMSUNG"/>
    <m/>
    <s v="A9"/>
    <m/>
    <s v="AKOR-014"/>
    <m/>
    <s v="ORAIMO CABLE TYPE-C 2A OCD-114C"/>
    <m/>
    <n v="15000"/>
    <m/>
    <n v="1"/>
    <m/>
    <n v="20000"/>
    <m/>
    <n v="20000"/>
    <m/>
    <m/>
    <m/>
    <s v="N/A"/>
  </r>
  <r>
    <m/>
    <x v="18"/>
    <m/>
    <s v="MF-FP.25105"/>
    <m/>
    <s v="MF-ST.22617"/>
    <m/>
    <d v="2026-05-12T00:00:00"/>
    <m/>
    <s v="Member Reguler"/>
    <m/>
    <s v="C.13274"/>
    <m/>
    <s v="MUHAMMAD AMIRUDIN"/>
    <m/>
    <s v="RIZKI RAMDHAN"/>
    <m/>
    <s v="PENJUALAN HANDPHONE"/>
    <m/>
    <x v="3"/>
    <m/>
    <s v="N/A"/>
    <m/>
    <x v="5"/>
    <m/>
    <s v="RIZKI RAMDHAN"/>
    <m/>
    <s v="N/A"/>
    <m/>
    <s v="VIVO"/>
    <m/>
    <s v="Y29"/>
    <m/>
    <s v="106935"/>
    <m/>
    <s v="VIVO Y29 8/128GB SECOND"/>
    <m/>
    <n v="1703350"/>
    <m/>
    <n v="1"/>
    <m/>
    <n v="1975000"/>
    <m/>
    <n v="1975000"/>
    <m/>
    <s v="RIZKI RAMDHAN"/>
    <m/>
    <s v="N/A"/>
  </r>
  <r>
    <m/>
    <x v="18"/>
    <m/>
    <s v="MF-FP.25105"/>
    <m/>
    <s v="MF-ST.22617"/>
    <m/>
    <d v="2026-05-12T00:00:00"/>
    <m/>
    <s v="Member Reguler"/>
    <m/>
    <s v="C.13274"/>
    <m/>
    <s v="MUHAMMAD AMIRUDIN"/>
    <m/>
    <s v="RIZKI RAMDHAN"/>
    <m/>
    <s v="PENJUALAN HANDPHONE"/>
    <m/>
    <x v="2"/>
    <m/>
    <s v="N/A"/>
    <m/>
    <x v="5"/>
    <m/>
    <s v="RIZKI RAMDHAN"/>
    <m/>
    <s v="N/A"/>
    <m/>
    <s v="VIVO"/>
    <m/>
    <s v="Y29"/>
    <m/>
    <s v="100025"/>
    <m/>
    <s v="VIVAN HYDROGEL BASIC CRYSTAL CLEAR VSP01T"/>
    <m/>
    <n v="11151.582562"/>
    <m/>
    <n v="1"/>
    <m/>
    <n v="75000"/>
    <m/>
    <n v="75000"/>
    <m/>
    <s v="RIZKI RAMDHAN"/>
    <m/>
    <s v="N/A"/>
  </r>
  <r>
    <m/>
    <x v="18"/>
    <m/>
    <s v="MF-FP.25108"/>
    <m/>
    <s v="MF-ST.22619"/>
    <m/>
    <d v="2026-05-12T00:00:00"/>
    <m/>
    <s v="Member Reguler"/>
    <m/>
    <s v="C.07701"/>
    <m/>
    <s v="PANJI"/>
    <m/>
    <s v="HANIF"/>
    <m/>
    <s v="SERVICE HANDPHONE"/>
    <m/>
    <x v="0"/>
    <m/>
    <s v="ARI MARWAN"/>
    <m/>
    <x v="0"/>
    <m/>
    <s v="HANIF"/>
    <m/>
    <s v="BATERAI"/>
    <m/>
    <s v="XIAOMI"/>
    <m/>
    <s v="Note 10s (BN59)"/>
    <m/>
    <s v="JASA71"/>
    <m/>
    <s v="JASA REPAIR"/>
    <m/>
    <n v="0"/>
    <m/>
    <n v="1"/>
    <m/>
    <n v="150000"/>
    <m/>
    <n v="150000"/>
    <m/>
    <s v="Achmad Indrawanto"/>
    <m/>
    <s v="N/A"/>
  </r>
  <r>
    <m/>
    <x v="18"/>
    <m/>
    <s v="MF-FP.25108"/>
    <m/>
    <s v="MF-ST.22619"/>
    <m/>
    <d v="2026-05-12T00:00:00"/>
    <m/>
    <s v="Member Reguler"/>
    <m/>
    <s v="C.07701"/>
    <m/>
    <s v="PANJI"/>
    <m/>
    <s v="HANIF"/>
    <m/>
    <s v="SERVICE HANDPHONE"/>
    <m/>
    <x v="1"/>
    <m/>
    <s v="ARI MARWAN"/>
    <m/>
    <x v="0"/>
    <m/>
    <s v="HANIF"/>
    <m/>
    <s v="BATERAI"/>
    <m/>
    <s v="XIAOMI"/>
    <m/>
    <s v="Note 10s (BN59)"/>
    <m/>
    <s v="100482"/>
    <m/>
    <s v="BATER XIO REDMI NOTE 10/NOTE 10s BN59"/>
    <m/>
    <n v="123500"/>
    <m/>
    <n v="1"/>
    <m/>
    <n v="130000"/>
    <m/>
    <n v="130000"/>
    <m/>
    <s v="Achmad Indrawanto"/>
    <m/>
    <s v="N/A"/>
  </r>
  <r>
    <m/>
    <x v="18"/>
    <m/>
    <s v="MF-FP.25108"/>
    <m/>
    <s v="MF-ST.22619"/>
    <m/>
    <d v="2026-05-12T00:00:00"/>
    <m/>
    <s v="Member Reguler"/>
    <m/>
    <s v="C.07701"/>
    <m/>
    <s v="PANJI"/>
    <m/>
    <s v="HANIF"/>
    <m/>
    <s v="SERVICE HANDPHONE"/>
    <m/>
    <x v="2"/>
    <m/>
    <s v="ARI MARWAN"/>
    <m/>
    <x v="0"/>
    <m/>
    <s v="HANIF"/>
    <m/>
    <s v="BATERAI"/>
    <m/>
    <s v="XIAOMI"/>
    <m/>
    <s v="Note 10s (BN59)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18"/>
    <m/>
    <s v="MF-FP.25109"/>
    <m/>
    <s v="MF-ST.22285"/>
    <m/>
    <d v="2026-04-29T00:00:00"/>
    <m/>
    <s v="Umum"/>
    <m/>
    <s v="C.13124"/>
    <m/>
    <s v="JODI"/>
    <m/>
    <s v="WAHYU PRATAMA"/>
    <m/>
    <s v="SERVICE LAPTOP"/>
    <m/>
    <x v="0"/>
    <m/>
    <s v="ARIFIN SANTOSO JATIMULYA"/>
    <m/>
    <x v="6"/>
    <m/>
    <s v="RIZKI RAMDHAN"/>
    <m/>
    <s v="KEYBOARD"/>
    <m/>
    <s v="AXIO"/>
    <m/>
    <s v="Axioo mybook pro a14"/>
    <m/>
    <s v="JASA71"/>
    <m/>
    <s v="JASA REPAIR"/>
    <m/>
    <n v="0"/>
    <m/>
    <n v="1"/>
    <m/>
    <n v="275000"/>
    <m/>
    <n v="275000"/>
    <m/>
    <m/>
    <m/>
    <s v="N/A"/>
  </r>
  <r>
    <m/>
    <x v="18"/>
    <m/>
    <s v="MF-FP.25109"/>
    <m/>
    <s v="MF-ST.22285"/>
    <m/>
    <d v="2026-04-29T00:00:00"/>
    <m/>
    <s v="Umum"/>
    <m/>
    <s v="C.13124"/>
    <m/>
    <s v="JODI"/>
    <m/>
    <s v="WAHYU PRATAMA"/>
    <m/>
    <s v="SERVICE LAPTOP"/>
    <m/>
    <x v="1"/>
    <m/>
    <s v="ARIFIN SANTOSO JATIMULYA"/>
    <m/>
    <x v="6"/>
    <m/>
    <s v="RIZKI RAMDHAN"/>
    <m/>
    <s v="KEYBOARD"/>
    <m/>
    <s v="AXIO"/>
    <m/>
    <s v="Axioo mybook pro a14"/>
    <m/>
    <s v="107248"/>
    <m/>
    <s v="KYBRD LPT AXIOO MYBOOK PRO A14 P414 P421 A7410"/>
    <m/>
    <n v="166000"/>
    <m/>
    <n v="1"/>
    <m/>
    <n v="450000"/>
    <m/>
    <n v="450000"/>
    <m/>
    <m/>
    <m/>
    <s v="N/A"/>
  </r>
  <r>
    <m/>
    <x v="18"/>
    <m/>
    <s v="MF-FP.25109"/>
    <m/>
    <s v="MF-ST.22285"/>
    <m/>
    <d v="2026-04-29T00:00:00"/>
    <m/>
    <s v="Umum"/>
    <m/>
    <s v="C.13124"/>
    <m/>
    <s v="JODI"/>
    <m/>
    <s v="WAHYU PRATAMA"/>
    <m/>
    <s v="SERVICE LAPTOP"/>
    <m/>
    <x v="2"/>
    <m/>
    <s v="ARIFIN SANTOSO JATIMULYA"/>
    <m/>
    <x v="6"/>
    <m/>
    <s v="RIZKI RAMDHAN"/>
    <m/>
    <s v="KEYBOARD"/>
    <m/>
    <s v="AXIO"/>
    <m/>
    <s v="Axioo mybook pro a14"/>
    <m/>
    <s v="AKOR-014"/>
    <m/>
    <s v="ORAIMO CABLE TYPE-C 2A OCD-114C"/>
    <m/>
    <n v="15000"/>
    <m/>
    <n v="1"/>
    <m/>
    <n v="25000"/>
    <m/>
    <n v="25000"/>
    <m/>
    <m/>
    <m/>
    <s v="N/A"/>
  </r>
  <r>
    <m/>
    <x v="18"/>
    <m/>
    <s v="MF-FP.25110"/>
    <m/>
    <s v="MF-ST.22612"/>
    <m/>
    <d v="2026-05-12T00:00:00"/>
    <m/>
    <s v="Umum"/>
    <m/>
    <s v="C.10892"/>
    <m/>
    <s v="KAK INDAH"/>
    <m/>
    <s v="HANIF"/>
    <m/>
    <s v="SERVICE HANDPHONE"/>
    <m/>
    <x v="0"/>
    <m/>
    <s v="EKO RISDIYANTORO JATIMULYA"/>
    <m/>
    <x v="2"/>
    <m/>
    <s v="HANIF"/>
    <m/>
    <s v="FLEXIBEL ON/OFF"/>
    <m/>
    <s v="INFINIX"/>
    <m/>
    <s v="infinix hot 20i"/>
    <m/>
    <s v="JASA71"/>
    <m/>
    <s v="JASA REPAIR"/>
    <m/>
    <n v="0"/>
    <m/>
    <n v="1"/>
    <m/>
    <n v="160000"/>
    <m/>
    <n v="160000"/>
    <m/>
    <m/>
    <m/>
    <s v="N/A"/>
  </r>
  <r>
    <m/>
    <x v="18"/>
    <m/>
    <s v="MF-FP.25110"/>
    <m/>
    <s v="MF-ST.22612"/>
    <m/>
    <d v="2026-05-12T00:00:00"/>
    <m/>
    <s v="Umum"/>
    <m/>
    <s v="C.10892"/>
    <m/>
    <s v="KAK INDAH"/>
    <m/>
    <s v="HANIF"/>
    <m/>
    <s v="SERVICE HANDPHONE"/>
    <m/>
    <x v="1"/>
    <m/>
    <s v="EKO RISDIYANTORO JATIMULYA"/>
    <m/>
    <x v="2"/>
    <m/>
    <s v="HANIF"/>
    <m/>
    <s v="FLEXIBEL ON/OFF"/>
    <m/>
    <s v="INFINIX"/>
    <m/>
    <s v="infinix hot 20i"/>
    <m/>
    <s v="106950"/>
    <m/>
    <s v="FLOFV INF HOT 12i / HOT 20i / SMART 6 / SMART 6 HD"/>
    <m/>
    <n v="9180"/>
    <m/>
    <n v="1"/>
    <m/>
    <n v="20000"/>
    <m/>
    <n v="20000"/>
    <m/>
    <m/>
    <m/>
    <s v="N/A"/>
  </r>
  <r>
    <m/>
    <x v="18"/>
    <m/>
    <s v="MF-FP.25112"/>
    <m/>
    <s v="MF-ST.22610"/>
    <m/>
    <d v="2026-05-12T00:00:00"/>
    <m/>
    <s v="Member Reguler"/>
    <m/>
    <s v="C.13269"/>
    <m/>
    <s v="DEVI"/>
    <m/>
    <s v="Achmad Indrawanto"/>
    <m/>
    <s v="SERVICE HANDPHONE"/>
    <m/>
    <x v="0"/>
    <m/>
    <s v="EKO RISDIYANTORO JATIMULYA"/>
    <m/>
    <x v="2"/>
    <m/>
    <s v="HANIF"/>
    <m/>
    <s v="REPAIR"/>
    <m/>
    <s v="SAMSUNG"/>
    <m/>
    <s v="samsung a35"/>
    <m/>
    <s v="JASA71"/>
    <m/>
    <s v="JASA REPAIR"/>
    <m/>
    <n v="0"/>
    <m/>
    <n v="1"/>
    <m/>
    <n v="410000"/>
    <m/>
    <n v="410000"/>
    <m/>
    <s v="Achmad Indrawanto"/>
    <m/>
    <s v="N/A"/>
  </r>
  <r>
    <m/>
    <x v="18"/>
    <m/>
    <s v="MF-FP.25113"/>
    <m/>
    <s v="MF-ST.22620"/>
    <m/>
    <d v="2026-05-12T00:00:00"/>
    <m/>
    <s v="Member Reguler"/>
    <m/>
    <s v="MJ2839"/>
    <m/>
    <s v="WIWID SUTAJI"/>
    <m/>
    <s v="RIZKI RAMDHAN"/>
    <m/>
    <s v="SERVICE HANDPHONE"/>
    <m/>
    <x v="0"/>
    <m/>
    <s v="ARI MARWAN"/>
    <m/>
    <x v="0"/>
    <m/>
    <s v="RIZKI RAMDHAN"/>
    <m/>
    <s v="LCD"/>
    <m/>
    <s v="SAMSUNG"/>
    <m/>
    <s v="Samsung A12"/>
    <m/>
    <s v="JASA71"/>
    <m/>
    <s v="JASA REPAIR"/>
    <m/>
    <n v="0"/>
    <m/>
    <n v="1"/>
    <m/>
    <n v="160000"/>
    <m/>
    <n v="160000"/>
    <m/>
    <s v="CHANDRA PRADITYA GUNAWAN"/>
    <m/>
    <s v="N/A"/>
  </r>
  <r>
    <m/>
    <x v="18"/>
    <m/>
    <s v="MF-FP.25112"/>
    <m/>
    <s v="MF-ST.22610"/>
    <m/>
    <d v="2026-05-12T00:00:00"/>
    <m/>
    <s v="Member Reguler"/>
    <m/>
    <s v="C.13269"/>
    <m/>
    <s v="DEVI"/>
    <m/>
    <s v="Achmad Indrawanto"/>
    <m/>
    <s v="SERVICE HANDPHONE"/>
    <m/>
    <x v="1"/>
    <m/>
    <s v="EKO RISDIYANTORO JATIMULYA"/>
    <m/>
    <x v="2"/>
    <m/>
    <s v="HANIF"/>
    <m/>
    <s v="REPAIR"/>
    <m/>
    <s v="SAMSUNG"/>
    <m/>
    <s v="samsung a35"/>
    <m/>
    <s v="105911"/>
    <m/>
    <s v="KNLCD SAM A52/A52S/M52 78 PIN"/>
    <m/>
    <n v="5098.4699620000001"/>
    <m/>
    <n v="1"/>
    <m/>
    <n v="20000"/>
    <m/>
    <n v="20000"/>
    <m/>
    <s v="Achmad Indrawanto"/>
    <m/>
    <s v="N/A"/>
  </r>
  <r>
    <m/>
    <x v="18"/>
    <m/>
    <s v="MF-FP.25112"/>
    <m/>
    <s v="MF-ST.22610"/>
    <m/>
    <d v="2026-05-12T00:00:00"/>
    <m/>
    <s v="Member Reguler"/>
    <m/>
    <s v="C.13269"/>
    <m/>
    <s v="DEVI"/>
    <m/>
    <s v="Achmad Indrawanto"/>
    <m/>
    <s v="SERVICE HANDPHONE"/>
    <m/>
    <x v="2"/>
    <m/>
    <s v="EKO RISDIYANTORO JATIMULYA"/>
    <m/>
    <x v="2"/>
    <m/>
    <s v="HANIF"/>
    <m/>
    <s v="REPAIR"/>
    <m/>
    <s v="SAMSUNG"/>
    <m/>
    <s v="samsung a35"/>
    <m/>
    <s v="AKOR-014"/>
    <m/>
    <s v="ORAIMO CABLE TYPE-C 2A OCD-114C"/>
    <m/>
    <n v="15000"/>
    <m/>
    <n v="1"/>
    <m/>
    <n v="20000"/>
    <m/>
    <n v="20000"/>
    <m/>
    <s v="Achmad Indrawanto"/>
    <m/>
    <s v="N/A"/>
  </r>
  <r>
    <m/>
    <x v="18"/>
    <m/>
    <s v="MF-FP.25113"/>
    <m/>
    <s v="MF-ST.22620"/>
    <m/>
    <d v="2026-05-12T00:00:00"/>
    <m/>
    <s v="Member Reguler"/>
    <m/>
    <s v="MJ2839"/>
    <m/>
    <s v="WIWID SUTAJI"/>
    <m/>
    <s v="RIZKI RAMDHAN"/>
    <m/>
    <s v="SERVICE HANDPHONE"/>
    <m/>
    <x v="1"/>
    <m/>
    <s v="ARI MARWAN"/>
    <m/>
    <x v="0"/>
    <m/>
    <s v="RIZKI RAMDHAN"/>
    <m/>
    <s v="LCD"/>
    <m/>
    <s v="SAMSUNG"/>
    <m/>
    <s v="Samsung A12"/>
    <m/>
    <s v="105586"/>
    <m/>
    <s v="PERNIK TBL VLM SAM A12 / A13 / A23 / A32 5G / M12 / M22 / M23 / M32 / M33"/>
    <m/>
    <n v="3056.3673469999999"/>
    <m/>
    <n v="1"/>
    <m/>
    <n v="15000"/>
    <m/>
    <n v="15000"/>
    <m/>
    <s v="CHANDRA PRADITYA GUNAWAN"/>
    <m/>
    <s v="N/A"/>
  </r>
  <r>
    <m/>
    <x v="18"/>
    <m/>
    <s v="MF-FP.25110"/>
    <m/>
    <s v="MF-ST.22612"/>
    <m/>
    <d v="2026-05-12T00:00:00"/>
    <m/>
    <s v="Umum"/>
    <m/>
    <s v="C.10892"/>
    <m/>
    <s v="KAK INDAH"/>
    <m/>
    <s v="HANIF"/>
    <m/>
    <s v="SERVICE HANDPHONE"/>
    <m/>
    <x v="2"/>
    <m/>
    <s v="EKO RISDIYANTORO JATIMULYA"/>
    <m/>
    <x v="2"/>
    <m/>
    <s v="HANIF"/>
    <m/>
    <s v="FLEXIBEL ON/OFF"/>
    <m/>
    <s v="INFINIX"/>
    <m/>
    <s v="infinix hot 20i"/>
    <m/>
    <s v="AKOR-014"/>
    <m/>
    <s v="ORAIMO CABLE TYPE-C 2A OCD-114C"/>
    <m/>
    <n v="15000"/>
    <m/>
    <n v="1"/>
    <m/>
    <n v="20000"/>
    <m/>
    <n v="20000"/>
    <m/>
    <m/>
    <m/>
    <s v="N/A"/>
  </r>
  <r>
    <m/>
    <x v="18"/>
    <m/>
    <s v="MF-FP.25114"/>
    <m/>
    <s v="MF-ST.22613"/>
    <m/>
    <d v="2026-05-12T00:00:00"/>
    <m/>
    <s v="Member Reguler"/>
    <m/>
    <s v="C.13271"/>
    <m/>
    <s v="ARA"/>
    <m/>
    <s v="Achmad Indrawanto"/>
    <m/>
    <s v="SERVICE HANDPHONE"/>
    <m/>
    <x v="0"/>
    <m/>
    <s v="ARI MARWAN"/>
    <m/>
    <x v="0"/>
    <m/>
    <s v="HANIF"/>
    <m/>
    <s v="LCD"/>
    <m/>
    <s v="OPPO"/>
    <m/>
    <s v="a18"/>
    <m/>
    <s v="JASA71"/>
    <m/>
    <s v="JASA REPAIR"/>
    <m/>
    <n v="0"/>
    <m/>
    <n v="1"/>
    <m/>
    <n v="200000"/>
    <m/>
    <n v="200000"/>
    <m/>
    <s v="Achmad Indrawanto"/>
    <m/>
    <s v="N/A"/>
  </r>
  <r>
    <m/>
    <x v="18"/>
    <m/>
    <s v="MF-FP.25114"/>
    <m/>
    <s v="MF-ST.22613"/>
    <m/>
    <d v="2026-05-12T00:00:00"/>
    <m/>
    <s v="Member Reguler"/>
    <m/>
    <s v="C.13271"/>
    <m/>
    <s v="ARA"/>
    <m/>
    <s v="Achmad Indrawanto"/>
    <m/>
    <s v="SERVICE HANDPHONE"/>
    <m/>
    <x v="1"/>
    <m/>
    <s v="ARI MARWAN"/>
    <m/>
    <x v="0"/>
    <m/>
    <s v="HANIF"/>
    <m/>
    <s v="LCD"/>
    <m/>
    <s v="OPPO"/>
    <m/>
    <s v="a18"/>
    <m/>
    <s v="101036"/>
    <m/>
    <s v="LCD.. OPP A57/A77/A77S/A78/A17/A17K/A18/A38K10 B"/>
    <m/>
    <n v="142972.23611100001"/>
    <m/>
    <n v="1"/>
    <m/>
    <n v="200000"/>
    <m/>
    <n v="200000"/>
    <m/>
    <s v="Achmad Indrawanto"/>
    <m/>
    <s v="N/A"/>
  </r>
  <r>
    <m/>
    <x v="18"/>
    <m/>
    <s v="MF-FP.25107"/>
    <m/>
    <s v="MF-ST.22618"/>
    <m/>
    <d v="2026-05-12T00:00:00"/>
    <m/>
    <s v="Member Reguler"/>
    <m/>
    <s v="C.05799"/>
    <m/>
    <s v="ANITA GUSTIAN"/>
    <m/>
    <s v="HANIF"/>
    <m/>
    <s v="SERVICE HANDPHONE"/>
    <m/>
    <x v="1"/>
    <m/>
    <s v="MUSTOFA"/>
    <m/>
    <x v="1"/>
    <m/>
    <s v="HANIF"/>
    <m/>
    <s v="LCD"/>
    <m/>
    <s v="OPPO"/>
    <m/>
    <s v="F11"/>
    <m/>
    <s v="100121"/>
    <m/>
    <s v="LCD.. OPP F11/A9 2019 B"/>
    <m/>
    <n v="138916.66666700001"/>
    <m/>
    <n v="1"/>
    <m/>
    <n v="149000"/>
    <m/>
    <n v="149000"/>
    <m/>
    <s v="Achmad Indrawanto"/>
    <m/>
    <s v="N/A"/>
  </r>
  <r>
    <m/>
    <x v="18"/>
    <m/>
    <s v="MF-FP.25113"/>
    <m/>
    <s v="MF-ST.22620"/>
    <m/>
    <d v="2026-05-12T00:00:00"/>
    <m/>
    <s v="Member Reguler"/>
    <m/>
    <s v="MJ2839"/>
    <m/>
    <s v="WIWID SUTAJI"/>
    <m/>
    <s v="RIZKI RAMDHAN"/>
    <m/>
    <s v="SERVICE HANDPHONE"/>
    <m/>
    <x v="2"/>
    <m/>
    <s v="ARI MARWAN"/>
    <m/>
    <x v="0"/>
    <m/>
    <s v="RIZKI RAMDHAN"/>
    <m/>
    <s v="LCD"/>
    <m/>
    <s v="SAMSUNG"/>
    <m/>
    <s v="Samsung A12"/>
    <m/>
    <s v="AKOR-014"/>
    <m/>
    <s v="ORAIMO CABLE TYPE-C 2A OCD-114C"/>
    <m/>
    <n v="15000"/>
    <m/>
    <n v="1"/>
    <m/>
    <n v="25000"/>
    <m/>
    <n v="25000"/>
    <m/>
    <s v="CHANDRA PRADITYA GUNAWAN"/>
    <m/>
    <s v="N/A"/>
  </r>
  <r>
    <m/>
    <x v="18"/>
    <m/>
    <s v="MF-FP.25113"/>
    <m/>
    <s v="MF-ST.22620"/>
    <m/>
    <d v="2026-05-12T00:00:00"/>
    <m/>
    <s v="Member Reguler"/>
    <m/>
    <s v="MJ2839"/>
    <m/>
    <s v="WIWID SUTAJI"/>
    <m/>
    <s v="RIZKI RAMDHAN"/>
    <m/>
    <s v="SERVICE HANDPHONE"/>
    <m/>
    <x v="1"/>
    <m/>
    <s v="ARI MARWAN"/>
    <m/>
    <x v="0"/>
    <m/>
    <s v="RIZKI RAMDHAN"/>
    <m/>
    <s v="LCD"/>
    <m/>
    <s v="SAMSUNG"/>
    <m/>
    <s v="Samsung A12"/>
    <m/>
    <s v="100757"/>
    <m/>
    <s v="LCD.. SAM A02/A12/A32 5G/M02/M12 B FST"/>
    <m/>
    <n v="114469.34540200001"/>
    <m/>
    <n v="1"/>
    <m/>
    <n v="300000"/>
    <m/>
    <n v="300000"/>
    <m/>
    <s v="CHANDRA PRADITYA GUNAWAN"/>
    <m/>
    <s v="N/A"/>
  </r>
  <r>
    <m/>
    <x v="18"/>
    <m/>
    <s v="MF-FP.25116"/>
    <m/>
    <s v="MF-ST.22616"/>
    <m/>
    <d v="2026-05-12T00:00:00"/>
    <m/>
    <s v="Umum"/>
    <m/>
    <s v="C.13273"/>
    <m/>
    <s v="ARIF"/>
    <m/>
    <s v="HANIF"/>
    <m/>
    <s v="SERVICE HANDPHONE"/>
    <m/>
    <x v="0"/>
    <m/>
    <s v="MUSTOFA"/>
    <m/>
    <x v="1"/>
    <m/>
    <s v="HANIF"/>
    <m/>
    <s v="BATERAI"/>
    <m/>
    <s v="INFINIX"/>
    <m/>
    <s v="Infinix hot 11s nfc"/>
    <m/>
    <s v="JASA71"/>
    <m/>
    <s v="JASA REPAIR"/>
    <m/>
    <n v="0"/>
    <m/>
    <n v="1"/>
    <m/>
    <n v="170000"/>
    <m/>
    <n v="170000"/>
    <m/>
    <m/>
    <m/>
    <s v="N/A"/>
  </r>
  <r>
    <m/>
    <x v="18"/>
    <m/>
    <s v="MF-FP.25115"/>
    <m/>
    <s v="MF-ST.22624"/>
    <m/>
    <d v="2026-05-12T00:00:00"/>
    <m/>
    <s v="Member Reguler"/>
    <m/>
    <s v="C.13278"/>
    <m/>
    <s v="SALWA"/>
    <m/>
    <s v="RIZKI RAMDHAN"/>
    <m/>
    <s v="SERVICE HANDPHONE"/>
    <m/>
    <x v="0"/>
    <m/>
    <s v="ARI MARWAN"/>
    <m/>
    <x v="0"/>
    <m/>
    <s v="RIZKI RAMDHAN"/>
    <m/>
    <s v="BATERAI"/>
    <m/>
    <s v="XIAOMI"/>
    <m/>
    <s v="REDMI NOTE 9"/>
    <m/>
    <s v="JASA71"/>
    <m/>
    <s v="JASA REPAIR"/>
    <m/>
    <n v="0"/>
    <m/>
    <n v="1"/>
    <m/>
    <n v="200000"/>
    <m/>
    <n v="200000"/>
    <m/>
    <s v="RIZKI RAMDHAN"/>
    <m/>
    <s v="N/A"/>
  </r>
  <r>
    <m/>
    <x v="18"/>
    <m/>
    <s v="MF-FP.25115"/>
    <m/>
    <s v="MF-ST.22624"/>
    <m/>
    <d v="2026-05-12T00:00:00"/>
    <m/>
    <s v="Member Reguler"/>
    <m/>
    <s v="C.13278"/>
    <m/>
    <s v="SALWA"/>
    <m/>
    <s v="RIZKI RAMDHAN"/>
    <m/>
    <s v="SERVICE HANDPHONE"/>
    <m/>
    <x v="1"/>
    <m/>
    <s v="ARI MARWAN"/>
    <m/>
    <x v="0"/>
    <m/>
    <s v="RIZKI RAMDHAN"/>
    <m/>
    <s v="BATERAI"/>
    <m/>
    <s v="XIAOMI"/>
    <m/>
    <s v="REDMI NOTE 9"/>
    <m/>
    <s v="100261"/>
    <m/>
    <s v="BATER XIO REDMI 9/REDMI NOTE 9 BN54"/>
    <m/>
    <n v="125000"/>
    <m/>
    <n v="1"/>
    <m/>
    <n v="150000"/>
    <m/>
    <n v="150000"/>
    <m/>
    <s v="RIZKI RAMDHAN"/>
    <m/>
    <s v="N/A"/>
  </r>
  <r>
    <m/>
    <x v="18"/>
    <m/>
    <s v="MF-FP.25116"/>
    <m/>
    <s v="MF-ST.22616"/>
    <m/>
    <d v="2026-05-12T00:00:00"/>
    <m/>
    <s v="Umum"/>
    <m/>
    <s v="C.13273"/>
    <m/>
    <s v="ARIF"/>
    <m/>
    <s v="HANIF"/>
    <m/>
    <s v="SERVICE HANDPHONE"/>
    <m/>
    <x v="1"/>
    <m/>
    <s v="MUSTOFA"/>
    <m/>
    <x v="1"/>
    <m/>
    <s v="HANIF"/>
    <m/>
    <s v="BATERAI"/>
    <m/>
    <s v="INFINIX"/>
    <m/>
    <s v="Infinix hot 11s nfc"/>
    <m/>
    <s v="105394"/>
    <m/>
    <s v="BATER INF HOT 7 LITE/HOT 11s NFC/HOT 12 PRO/NOTE 7 LITE/NOTE 10 BL49GX"/>
    <m/>
    <n v="92238.095237999994"/>
    <m/>
    <n v="1"/>
    <m/>
    <n v="130000"/>
    <m/>
    <n v="130000"/>
    <m/>
    <m/>
    <m/>
    <s v="N/A"/>
  </r>
  <r>
    <m/>
    <x v="18"/>
    <m/>
    <s v="MF-FP.25117"/>
    <m/>
    <s v="MF-ST.22625"/>
    <m/>
    <d v="2026-05-12T00:00:00"/>
    <m/>
    <s v="Umum"/>
    <m/>
    <s v="C.11506"/>
    <m/>
    <s v="DONI"/>
    <m/>
    <s v="RIZKI RAMDHAN"/>
    <m/>
    <s v="SERVICE HANDPHONE"/>
    <m/>
    <x v="2"/>
    <m/>
    <s v="N/A"/>
    <m/>
    <x v="5"/>
    <m/>
    <s v="RIZKI RAMDHAN"/>
    <m/>
    <s v="N/A"/>
    <m/>
    <s v="VIVO"/>
    <m/>
    <s v="N/A"/>
    <m/>
    <s v="106999"/>
    <m/>
    <s v="VIVAN VSP04T-2 PRO PRIVACY &amp; CRYSTAL CLEAR"/>
    <m/>
    <n v="35700"/>
    <m/>
    <n v="1"/>
    <m/>
    <n v="120000"/>
    <m/>
    <n v="120000"/>
    <m/>
    <m/>
    <m/>
    <s v="N/A"/>
  </r>
  <r>
    <m/>
    <x v="18"/>
    <m/>
    <s v="MF-FP.25118"/>
    <m/>
    <s v="MF-ST.22626"/>
    <m/>
    <d v="2026-05-12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APPLE"/>
    <m/>
    <s v="17"/>
    <m/>
    <s v="106883"/>
    <m/>
    <s v="BROOKLYN TPGS. IPH 17 VER 2 CLEAR"/>
    <m/>
    <n v="81900"/>
    <m/>
    <n v="1"/>
    <m/>
    <n v="150000"/>
    <m/>
    <n v="150000"/>
    <m/>
    <m/>
    <m/>
    <s v="N/A"/>
  </r>
  <r>
    <m/>
    <x v="18"/>
    <m/>
    <s v="MF-FP.25120"/>
    <m/>
    <s v="MF-ST.22627"/>
    <m/>
    <d v="2026-05-12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AKRP-034"/>
    <m/>
    <s v="RAPA KABEL DATA USB TO LIGHTNING LINE MAX 2,4A DC2022 FST"/>
    <m/>
    <n v="30500"/>
    <m/>
    <n v="1"/>
    <m/>
    <n v="70000"/>
    <m/>
    <n v="70000"/>
    <m/>
    <m/>
    <m/>
    <s v="N/A"/>
  </r>
  <r>
    <m/>
    <x v="18"/>
    <m/>
    <s v="MF-FP.25121"/>
    <m/>
    <s v="MF-ST.22586"/>
    <m/>
    <d v="2026-05-10T00:00:00"/>
    <m/>
    <s v="Umum"/>
    <m/>
    <s v="C.07742"/>
    <m/>
    <s v="Zidane"/>
    <m/>
    <s v="WAHYU PRATAMA"/>
    <m/>
    <s v="SERVICE LAPTOP"/>
    <m/>
    <x v="0"/>
    <m/>
    <s v="ABDUL MUNAJAT"/>
    <m/>
    <x v="3"/>
    <m/>
    <s v="HANIF"/>
    <m/>
    <s v="KEYBOARD"/>
    <m/>
    <s v="MSI"/>
    <m/>
    <s v="MSI MODERN 14"/>
    <m/>
    <s v="JASA71"/>
    <m/>
    <s v="JASA REPAIR"/>
    <m/>
    <n v="0"/>
    <m/>
    <n v="1"/>
    <m/>
    <n v="100000"/>
    <m/>
    <n v="100000"/>
    <m/>
    <s v="TEGAR PUTRA YANSA SALES"/>
    <m/>
    <s v="N/A"/>
  </r>
  <r>
    <m/>
    <x v="18"/>
    <m/>
    <s v="MF-FP.25122"/>
    <m/>
    <s v="MF-ST.22628"/>
    <m/>
    <d v="2026-05-12T00:00:00"/>
    <m/>
    <s v="Umum"/>
    <m/>
    <s v="C.11946"/>
    <m/>
    <s v="YUNI"/>
    <m/>
    <s v="HANIF"/>
    <m/>
    <s v="SERVICE HANDPHONE"/>
    <m/>
    <x v="0"/>
    <m/>
    <s v="ARI MARWAN"/>
    <m/>
    <x v="0"/>
    <m/>
    <s v="HANIF"/>
    <m/>
    <s v="LCD"/>
    <m/>
    <s v="SAMSUNG"/>
    <m/>
    <s v="m33"/>
    <m/>
    <s v="JASA71"/>
    <m/>
    <s v="JASA REPAIR"/>
    <m/>
    <n v="0"/>
    <m/>
    <n v="1"/>
    <m/>
    <n v="200000"/>
    <m/>
    <n v="200000"/>
    <m/>
    <m/>
    <m/>
    <s v="N/A"/>
  </r>
  <r>
    <m/>
    <x v="18"/>
    <m/>
    <s v="MF-FP.25122"/>
    <m/>
    <s v="MF-ST.22628"/>
    <m/>
    <d v="2026-05-12T00:00:00"/>
    <m/>
    <s v="Umum"/>
    <m/>
    <s v="C.11946"/>
    <m/>
    <s v="YUNI"/>
    <m/>
    <s v="HANIF"/>
    <m/>
    <s v="SERVICE HANDPHONE"/>
    <m/>
    <x v="1"/>
    <m/>
    <s v="ARI MARWAN"/>
    <m/>
    <x v="0"/>
    <m/>
    <s v="HANIF"/>
    <m/>
    <s v="LCD"/>
    <m/>
    <s v="SAMSUNG"/>
    <m/>
    <s v="m33"/>
    <m/>
    <s v="100169"/>
    <m/>
    <s v="LCD.. SAM A23 4G/A13 4G/M23 5G/M33 5G B"/>
    <m/>
    <n v="142152.878444"/>
    <m/>
    <n v="1"/>
    <m/>
    <n v="200000"/>
    <m/>
    <n v="200000"/>
    <m/>
    <m/>
    <m/>
    <s v="N/A"/>
  </r>
  <r>
    <m/>
    <x v="18"/>
    <m/>
    <s v="MF-FP.25119"/>
    <m/>
    <s v="MF-ST.22547"/>
    <m/>
    <d v="2026-05-09T00:00:00"/>
    <m/>
    <s v="Umum"/>
    <m/>
    <s v="C.11834"/>
    <m/>
    <s v="DEDI"/>
    <m/>
    <s v="HANIF"/>
    <m/>
    <s v="SERVICE HANDPHONE"/>
    <m/>
    <x v="0"/>
    <m/>
    <s v="EKO RISDIYANTORO JATIMULYA"/>
    <m/>
    <x v="2"/>
    <m/>
    <s v="HANIF"/>
    <m/>
    <s v="HARDWARE"/>
    <m/>
    <s v="SAMSUNG"/>
    <m/>
    <s v="samsung z fold 5"/>
    <m/>
    <s v="JASA71"/>
    <m/>
    <s v="JASA REPAIR"/>
    <m/>
    <n v="0"/>
    <m/>
    <n v="1"/>
    <m/>
    <n v="2021425"/>
    <m/>
    <n v="2021425"/>
    <m/>
    <m/>
    <m/>
    <s v="N/A"/>
  </r>
  <r>
    <m/>
    <x v="18"/>
    <m/>
    <s v="MF-FP.25119"/>
    <m/>
    <m/>
    <m/>
    <m/>
    <m/>
    <m/>
    <m/>
    <s v="C.11834"/>
    <m/>
    <s v="DEDI"/>
    <m/>
    <m/>
    <m/>
    <s v="SERVICE HANDPHONE"/>
    <m/>
    <x v="1"/>
    <m/>
    <m/>
    <m/>
    <x v="2"/>
    <m/>
    <s v="HANIF"/>
    <m/>
    <m/>
    <m/>
    <m/>
    <m/>
    <m/>
    <m/>
    <s v="107264"/>
    <m/>
    <s v="FLBRD SAM ZFOLD 5"/>
    <m/>
    <n v="90000"/>
    <m/>
    <n v="1"/>
    <m/>
    <n v="135000"/>
    <m/>
    <n v="135000"/>
    <m/>
    <m/>
    <m/>
    <s v="N/A"/>
  </r>
  <r>
    <m/>
    <x v="18"/>
    <m/>
    <s v="MF-FP.25119"/>
    <m/>
    <m/>
    <m/>
    <m/>
    <m/>
    <m/>
    <m/>
    <s v="C.11834"/>
    <m/>
    <s v="DEDI"/>
    <m/>
    <m/>
    <m/>
    <s v="SERVICE HANDPHONE"/>
    <m/>
    <x v="1"/>
    <m/>
    <m/>
    <m/>
    <x v="2"/>
    <m/>
    <s v="HANIF"/>
    <m/>
    <m/>
    <m/>
    <m/>
    <m/>
    <m/>
    <m/>
    <s v="102919"/>
    <m/>
    <s v="JASA REMOTE MI CLOUD POCO X3 NFC"/>
    <m/>
    <n v="130000"/>
    <m/>
    <n v="1"/>
    <m/>
    <n v="175500"/>
    <m/>
    <n v="175500"/>
    <m/>
    <m/>
    <m/>
    <s v="N/A"/>
  </r>
  <r>
    <m/>
    <x v="18"/>
    <m/>
    <s v="MF-FP.25119"/>
    <m/>
    <m/>
    <m/>
    <m/>
    <m/>
    <m/>
    <m/>
    <s v="C.11834"/>
    <m/>
    <s v="DEDI"/>
    <m/>
    <m/>
    <m/>
    <s v="SERVICE HANDPHONE"/>
    <m/>
    <x v="1"/>
    <m/>
    <m/>
    <m/>
    <x v="2"/>
    <m/>
    <s v="HANIF"/>
    <m/>
    <m/>
    <m/>
    <m/>
    <m/>
    <m/>
    <m/>
    <s v="105369"/>
    <m/>
    <s v="MESIN SAM A11 EK"/>
    <m/>
    <n v="124500"/>
    <m/>
    <n v="1"/>
    <m/>
    <n v="168075"/>
    <m/>
    <n v="168075"/>
    <m/>
    <m/>
    <m/>
    <s v="N/A"/>
  </r>
  <r>
    <m/>
    <x v="19"/>
    <m/>
    <s v="MF-FP.25124"/>
    <m/>
    <s v="MF-ST.22611"/>
    <m/>
    <d v="2026-05-12T00:00:00"/>
    <m/>
    <s v="Member Reguler"/>
    <m/>
    <s v="C.13270"/>
    <m/>
    <s v="DEWI"/>
    <m/>
    <s v="Achmad Indrawanto"/>
    <m/>
    <s v="SERVICE HANDPHONE"/>
    <m/>
    <x v="0"/>
    <m/>
    <s v="EKO RISDIYANTORO JATIMULYA"/>
    <m/>
    <x v="2"/>
    <m/>
    <s v="HANIF"/>
    <m/>
    <s v="LCD"/>
    <m/>
    <s v="XIAOMI"/>
    <m/>
    <s v="redmi note 12"/>
    <m/>
    <s v="JASA71"/>
    <m/>
    <s v="JASA REPAIR"/>
    <m/>
    <n v="0"/>
    <m/>
    <n v="1"/>
    <m/>
    <n v="170000"/>
    <m/>
    <n v="170000"/>
    <m/>
    <s v="Achmad Indrawanto"/>
    <m/>
    <s v="N/A"/>
  </r>
  <r>
    <m/>
    <x v="19"/>
    <m/>
    <s v="MF-FP.25124"/>
    <m/>
    <s v="MF-ST.22611"/>
    <m/>
    <d v="2026-05-12T00:00:00"/>
    <m/>
    <s v="Member Reguler"/>
    <m/>
    <s v="C.13270"/>
    <m/>
    <s v="DEWI"/>
    <m/>
    <s v="Achmad Indrawanto"/>
    <m/>
    <s v="SERVICE HANDPHONE"/>
    <m/>
    <x v="1"/>
    <m/>
    <s v="EKO RISDIYANTORO JATIMULYA"/>
    <m/>
    <x v="2"/>
    <m/>
    <s v="HANIF"/>
    <m/>
    <s v="LCD"/>
    <m/>
    <s v="XIAOMI"/>
    <m/>
    <s v="redmi note 12"/>
    <m/>
    <s v="102029"/>
    <m/>
    <s v="LCD.. XIO REDMI NOTE 12/POCO X5 B"/>
    <m/>
    <n v="166447.041902"/>
    <m/>
    <n v="1"/>
    <m/>
    <n v="255000"/>
    <m/>
    <n v="255000"/>
    <m/>
    <s v="Achmad Indrawanto"/>
    <m/>
    <s v="N/A"/>
  </r>
  <r>
    <m/>
    <x v="19"/>
    <m/>
    <s v="MF-FP.25124"/>
    <m/>
    <s v="MF-ST.22611"/>
    <m/>
    <d v="2026-05-12T00:00:00"/>
    <m/>
    <s v="Member Reguler"/>
    <m/>
    <s v="C.13270"/>
    <m/>
    <s v="DEWI"/>
    <m/>
    <s v="Achmad Indrawanto"/>
    <m/>
    <s v="SERVICE HANDPHONE"/>
    <m/>
    <x v="2"/>
    <m/>
    <s v="EKO RISDIYANTORO JATIMULYA"/>
    <m/>
    <x v="2"/>
    <m/>
    <s v="HANIF"/>
    <m/>
    <s v="LCD"/>
    <m/>
    <s v="XIAOMI"/>
    <m/>
    <s v="redmi note 12"/>
    <m/>
    <s v="100025"/>
    <m/>
    <s v="VIVAN HYDROGEL BASIC CRYSTAL CLEAR VSP01T"/>
    <m/>
    <n v="11151.582562"/>
    <m/>
    <n v="1"/>
    <m/>
    <n v="75000"/>
    <m/>
    <n v="75000"/>
    <m/>
    <s v="Achmad Indrawanto"/>
    <m/>
    <s v="N/A"/>
  </r>
  <r>
    <m/>
    <x v="19"/>
    <m/>
    <s v="MF-FP.25137"/>
    <m/>
    <s v="MF-ST.22638"/>
    <m/>
    <d v="2026-05-13T00:00:00"/>
    <m/>
    <s v="Umum"/>
    <m/>
    <s v="C.08642"/>
    <m/>
    <s v="DODI"/>
    <m/>
    <s v="WAHYU PRATAMA"/>
    <m/>
    <s v="SERVICE HANDPHONE"/>
    <m/>
    <x v="0"/>
    <m/>
    <s v="EKO RISDIYANTORO JATIMULYA"/>
    <m/>
    <x v="2"/>
    <m/>
    <s v="WAHYU PRATAMA"/>
    <m/>
    <s v="LCD"/>
    <m/>
    <s v="OPPO"/>
    <m/>
    <s v="F9"/>
    <m/>
    <s v="JASA71"/>
    <m/>
    <s v="JASA REPAIR"/>
    <m/>
    <n v="0"/>
    <m/>
    <n v="1"/>
    <m/>
    <n v="175000"/>
    <m/>
    <n v="175000"/>
    <m/>
    <m/>
    <m/>
    <s v="N/A"/>
  </r>
  <r>
    <m/>
    <x v="19"/>
    <m/>
    <s v="MF-FP.25137"/>
    <m/>
    <s v="MF-ST.22638"/>
    <m/>
    <d v="2026-05-13T00:00:00"/>
    <m/>
    <s v="Umum"/>
    <m/>
    <s v="C.08642"/>
    <m/>
    <s v="DODI"/>
    <m/>
    <s v="WAHYU PRATAMA"/>
    <m/>
    <s v="SERVICE HANDPHONE"/>
    <m/>
    <x v="1"/>
    <m/>
    <s v="EKO RISDIYANTORO JATIMULYA"/>
    <m/>
    <x v="2"/>
    <m/>
    <s v="WAHYU PRATAMA"/>
    <m/>
    <s v="LCD"/>
    <m/>
    <s v="OPPO"/>
    <m/>
    <s v="F9"/>
    <m/>
    <s v="100113"/>
    <m/>
    <s v="LCD.. OPP F9/RLM 2 PRO B FST"/>
    <m/>
    <n v="119017.88617899999"/>
    <m/>
    <n v="1"/>
    <m/>
    <n v="185000"/>
    <m/>
    <n v="185000"/>
    <m/>
    <m/>
    <m/>
    <s v="N/A"/>
  </r>
  <r>
    <m/>
    <x v="19"/>
    <m/>
    <s v="MF-FP.25137"/>
    <m/>
    <s v="MF-ST.22638"/>
    <m/>
    <d v="2026-05-13T00:00:00"/>
    <m/>
    <s v="Umum"/>
    <m/>
    <s v="C.08642"/>
    <m/>
    <s v="DODI"/>
    <m/>
    <s v="WAHYU PRATAMA"/>
    <m/>
    <s v="SERVICE HANDPHONE"/>
    <m/>
    <x v="2"/>
    <m/>
    <s v="EKO RISDIYANTORO JATIMULYA"/>
    <m/>
    <x v="2"/>
    <m/>
    <s v="WAHYU PRATAMA"/>
    <m/>
    <s v="LCD"/>
    <m/>
    <s v="OPPO"/>
    <m/>
    <s v="F9"/>
    <m/>
    <s v="107200"/>
    <m/>
    <s v="LUNA DATA CABLE TYPE-C CB-2EC"/>
    <m/>
    <n v="9500"/>
    <m/>
    <n v="1"/>
    <m/>
    <n v="15000"/>
    <m/>
    <n v="15000"/>
    <m/>
    <m/>
    <m/>
    <s v="N/A"/>
  </r>
  <r>
    <m/>
    <x v="19"/>
    <m/>
    <s v="MF-FP.25127"/>
    <m/>
    <s v="MF-ST.22632"/>
    <m/>
    <d v="2026-05-13T00:00:00"/>
    <m/>
    <s v="Umum"/>
    <m/>
    <s v="C.12723"/>
    <m/>
    <s v="DAVINA"/>
    <m/>
    <s v="HANIF"/>
    <m/>
    <s v="SERVICE HANDPHONE"/>
    <m/>
    <x v="0"/>
    <m/>
    <s v="ARI MARWAN"/>
    <m/>
    <x v="0"/>
    <m/>
    <s v="Achmad Indrawanto"/>
    <m/>
    <s v="LCD"/>
    <m/>
    <s v="SAMSUNG"/>
    <m/>
    <s v="A13"/>
    <m/>
    <s v="JASA71"/>
    <m/>
    <s v="JASA REPAIR"/>
    <m/>
    <n v="0"/>
    <m/>
    <n v="1"/>
    <m/>
    <n v="180000"/>
    <m/>
    <n v="180000"/>
    <m/>
    <m/>
    <m/>
    <s v="N/A"/>
  </r>
  <r>
    <m/>
    <x v="19"/>
    <m/>
    <s v="MF-FP.25126"/>
    <m/>
    <s v="MF-ST.22637"/>
    <m/>
    <d v="2026-05-13T00:00:00"/>
    <m/>
    <s v="Member Reguler"/>
    <m/>
    <s v="C.13286"/>
    <m/>
    <s v="ANGGA"/>
    <m/>
    <s v="Achmad Indrawanto"/>
    <m/>
    <s v="SERVICE HANDPHONE"/>
    <m/>
    <x v="0"/>
    <m/>
    <s v="ARI MARWAN"/>
    <m/>
    <x v="0"/>
    <m/>
    <s v="Achmad Indrawanto"/>
    <m/>
    <s v="N/A"/>
    <m/>
    <s v="XIAOMI"/>
    <m/>
    <s v="POCO X3"/>
    <m/>
    <s v="JASA71"/>
    <m/>
    <s v="JASA REPAIR"/>
    <m/>
    <n v="0"/>
    <m/>
    <n v="1"/>
    <m/>
    <n v="150000"/>
    <m/>
    <n v="150000"/>
    <m/>
    <s v="Achmad Indrawanto"/>
    <m/>
    <s v="N/A"/>
  </r>
  <r>
    <m/>
    <x v="19"/>
    <m/>
    <s v="MF-FP.25125"/>
    <m/>
    <s v="MF-ST.22630"/>
    <m/>
    <d v="2026-05-13T00:00:00"/>
    <m/>
    <s v="Member Reguler"/>
    <m/>
    <s v="C.13281"/>
    <m/>
    <s v="YUNUS"/>
    <m/>
    <s v="HANIF"/>
    <m/>
    <s v="SERVICE HANDPHONE"/>
    <m/>
    <x v="1"/>
    <m/>
    <s v="ARI MARWAN"/>
    <m/>
    <x v="0"/>
    <m/>
    <s v="HANIF"/>
    <m/>
    <s v="LCD"/>
    <m/>
    <s v="SAMSUNG"/>
    <m/>
    <s v="M10"/>
    <m/>
    <s v="100451"/>
    <m/>
    <s v="FLCRG SAM M10"/>
    <m/>
    <n v="12500"/>
    <m/>
    <n v="1"/>
    <m/>
    <n v="20000"/>
    <m/>
    <n v="20000"/>
    <m/>
    <s v="HANIF"/>
    <m/>
    <s v="N/A"/>
  </r>
  <r>
    <m/>
    <x v="19"/>
    <m/>
    <s v="MF-FP.25125"/>
    <m/>
    <s v="MF-ST.22630"/>
    <m/>
    <d v="2026-05-13T00:00:00"/>
    <m/>
    <s v="Member Reguler"/>
    <m/>
    <s v="C.13281"/>
    <m/>
    <s v="YUNUS"/>
    <m/>
    <s v="HANIF"/>
    <m/>
    <s v="SERVICE HANDPHONE"/>
    <m/>
    <x v="1"/>
    <m/>
    <s v="ARI MARWAN"/>
    <m/>
    <x v="0"/>
    <m/>
    <s v="HANIF"/>
    <m/>
    <s v="LCD"/>
    <m/>
    <s v="SAMSUNG"/>
    <m/>
    <s v="M10"/>
    <m/>
    <s v="105592"/>
    <m/>
    <s v="PERNIK TBL O/F + VLM SAM A10 / M10"/>
    <m/>
    <n v="6750"/>
    <m/>
    <n v="1"/>
    <m/>
    <n v="16000"/>
    <m/>
    <n v="16000"/>
    <m/>
    <s v="HANIF"/>
    <m/>
    <s v="N/A"/>
  </r>
  <r>
    <m/>
    <x v="19"/>
    <m/>
    <s v="MF-FP.25125"/>
    <m/>
    <s v="MF-ST.22630"/>
    <m/>
    <d v="2026-05-13T00:00:00"/>
    <m/>
    <s v="Member Reguler"/>
    <m/>
    <s v="C.13281"/>
    <m/>
    <s v="YUNUS"/>
    <m/>
    <s v="HANIF"/>
    <m/>
    <s v="SERVICE HANDPHONE"/>
    <m/>
    <x v="1"/>
    <m/>
    <s v="ARI MARWAN"/>
    <m/>
    <x v="0"/>
    <m/>
    <s v="HANIF"/>
    <m/>
    <s v="LCD"/>
    <m/>
    <s v="SAMSUNG"/>
    <m/>
    <s v="M10"/>
    <m/>
    <s v="100232"/>
    <m/>
    <s v="LCD.. SAM A10/M10 B FST"/>
    <m/>
    <n v="114836.602574"/>
    <m/>
    <n v="1"/>
    <m/>
    <n v="184000"/>
    <m/>
    <n v="184000"/>
    <m/>
    <s v="HANIF"/>
    <m/>
    <s v="N/A"/>
  </r>
  <r>
    <m/>
    <x v="19"/>
    <m/>
    <s v="MF-FP.25125"/>
    <m/>
    <s v="MF-ST.22630"/>
    <m/>
    <d v="2026-05-13T00:00:00"/>
    <m/>
    <s v="Member Reguler"/>
    <m/>
    <s v="C.13281"/>
    <m/>
    <s v="YUNUS"/>
    <m/>
    <s v="HANIF"/>
    <m/>
    <s v="SERVICE HANDPHONE"/>
    <m/>
    <x v="0"/>
    <m/>
    <s v="ARI MARWAN"/>
    <m/>
    <x v="0"/>
    <m/>
    <s v="HANIF"/>
    <m/>
    <s v="LCD"/>
    <m/>
    <s v="SAMSUNG"/>
    <m/>
    <s v="M10"/>
    <m/>
    <s v="JASA71"/>
    <m/>
    <s v="JASA REPAIR"/>
    <m/>
    <n v="0"/>
    <m/>
    <n v="1"/>
    <m/>
    <n v="330000"/>
    <m/>
    <n v="330000"/>
    <m/>
    <s v="HANIF"/>
    <m/>
    <s v="N/A"/>
  </r>
  <r>
    <m/>
    <x v="19"/>
    <m/>
    <s v="MF-FP.25127"/>
    <m/>
    <s v="MF-ST.22632"/>
    <m/>
    <d v="2026-05-13T00:00:00"/>
    <m/>
    <s v="Umum"/>
    <m/>
    <s v="C.12723"/>
    <m/>
    <s v="DAVINA"/>
    <m/>
    <s v="HANIF"/>
    <m/>
    <s v="SERVICE HANDPHONE"/>
    <m/>
    <x v="1"/>
    <m/>
    <s v="ARI MARWAN"/>
    <m/>
    <x v="0"/>
    <m/>
    <s v="Achmad Indrawanto"/>
    <m/>
    <s v="LCD"/>
    <m/>
    <s v="SAMSUNG"/>
    <m/>
    <s v="A13"/>
    <m/>
    <s v="100169"/>
    <m/>
    <s v="LCD.. SAM A23 4G/A13 4G/M23 5G/M33 5G B"/>
    <m/>
    <n v="142152.878444"/>
    <m/>
    <n v="1"/>
    <m/>
    <n v="200000"/>
    <m/>
    <n v="200000"/>
    <m/>
    <m/>
    <m/>
    <s v="N/A"/>
  </r>
  <r>
    <m/>
    <x v="19"/>
    <m/>
    <s v="MF-FP.25127"/>
    <m/>
    <s v="MF-ST.22632"/>
    <m/>
    <d v="2026-05-13T00:00:00"/>
    <m/>
    <s v="Umum"/>
    <m/>
    <s v="C.12723"/>
    <m/>
    <s v="DAVINA"/>
    <m/>
    <s v="HANIF"/>
    <m/>
    <s v="SERVICE HANDPHONE"/>
    <m/>
    <x v="2"/>
    <m/>
    <s v="ARI MARWAN"/>
    <m/>
    <x v="0"/>
    <m/>
    <s v="Achmad Indrawanto"/>
    <m/>
    <s v="LCD"/>
    <m/>
    <s v="SAMSUNG"/>
    <m/>
    <s v="A13"/>
    <m/>
    <s v="107200"/>
    <m/>
    <s v="LUNA DATA CABLE TYPE-C CB-2EC"/>
    <m/>
    <n v="9500"/>
    <m/>
    <n v="1"/>
    <m/>
    <n v="20000"/>
    <m/>
    <n v="20000"/>
    <m/>
    <m/>
    <m/>
    <s v="N/A"/>
  </r>
  <r>
    <m/>
    <x v="19"/>
    <m/>
    <s v="MF-FP.25128"/>
    <m/>
    <s v="MF-ST.22633"/>
    <m/>
    <d v="2026-05-13T00:00:00"/>
    <m/>
    <s v="Member Reguler"/>
    <m/>
    <s v="MJ0249"/>
    <m/>
    <s v="Ari Andrianto"/>
    <m/>
    <s v="HANIF"/>
    <m/>
    <s v="SERVICE HANDPHONE"/>
    <m/>
    <x v="0"/>
    <m/>
    <s v="YUVI NOFERIANTO"/>
    <m/>
    <x v="4"/>
    <m/>
    <s v="Achmad Indrawanto"/>
    <m/>
    <s v="LCD"/>
    <m/>
    <s v="XIAOMI"/>
    <m/>
    <s v="redmi note 11 pro 4g"/>
    <m/>
    <s v="JASA71"/>
    <m/>
    <s v="JASA REPAIR"/>
    <m/>
    <n v="0"/>
    <m/>
    <n v="1"/>
    <m/>
    <n v="170000"/>
    <m/>
    <n v="170000"/>
    <m/>
    <s v="TEGAR PUTRA YANSA SALES"/>
    <m/>
    <s v="N/A"/>
  </r>
  <r>
    <m/>
    <x v="19"/>
    <m/>
    <s v="MF-FP.25128"/>
    <m/>
    <s v="MF-ST.22633"/>
    <m/>
    <d v="2026-05-13T00:00:00"/>
    <m/>
    <s v="Member Reguler"/>
    <m/>
    <s v="MJ0249"/>
    <m/>
    <s v="Ari Andrianto"/>
    <m/>
    <s v="HANIF"/>
    <m/>
    <s v="SERVICE HANDPHONE"/>
    <m/>
    <x v="1"/>
    <m/>
    <s v="YUVI NOFERIANTO"/>
    <m/>
    <x v="4"/>
    <m/>
    <s v="Achmad Indrawanto"/>
    <m/>
    <s v="LCD"/>
    <m/>
    <s v="XIAOMI"/>
    <m/>
    <s v="redmi note 11 pro 4g"/>
    <m/>
    <s v="100190"/>
    <m/>
    <s v="LCD.. XIO REDMI NOTE 10 PRO 4G/NOTE 11 PRO 4G/5G/POCO X4 PRO 5G/NOTE 12 PRO 4G B"/>
    <m/>
    <n v="171041.77777700001"/>
    <m/>
    <n v="1"/>
    <m/>
    <n v="260000"/>
    <m/>
    <n v="260000"/>
    <m/>
    <s v="TEGAR PUTRA YANSA SALES"/>
    <m/>
    <s v="N/A"/>
  </r>
  <r>
    <m/>
    <x v="19"/>
    <m/>
    <s v="MF-FP.25128"/>
    <m/>
    <s v="MF-ST.22633"/>
    <m/>
    <d v="2026-05-13T00:00:00"/>
    <m/>
    <s v="Member Reguler"/>
    <m/>
    <s v="MJ0249"/>
    <m/>
    <s v="Ari Andrianto"/>
    <m/>
    <s v="HANIF"/>
    <m/>
    <s v="SERVICE HANDPHONE"/>
    <m/>
    <x v="2"/>
    <m/>
    <s v="YUVI NOFERIANTO"/>
    <m/>
    <x v="4"/>
    <m/>
    <s v="Achmad Indrawanto"/>
    <m/>
    <s v="LCD"/>
    <m/>
    <s v="XIAOMI"/>
    <m/>
    <s v="redmi note 11 pro 4g"/>
    <m/>
    <s v="107200"/>
    <m/>
    <s v="LUNA DATA CABLE TYPE-C CB-2EC"/>
    <m/>
    <n v="9500"/>
    <m/>
    <n v="1"/>
    <m/>
    <n v="20000"/>
    <m/>
    <n v="20000"/>
    <m/>
    <s v="TEGAR PUTRA YANSA SALES"/>
    <m/>
    <s v="N/A"/>
  </r>
  <r>
    <m/>
    <x v="19"/>
    <m/>
    <s v="MF-FP.25137"/>
    <m/>
    <s v="MF-ST.22638"/>
    <m/>
    <d v="2026-05-13T00:00:00"/>
    <m/>
    <s v="Umum"/>
    <m/>
    <s v="C.08642"/>
    <m/>
    <s v="DODI"/>
    <m/>
    <s v="WAHYU PRATAMA"/>
    <m/>
    <s v="SERVICE HANDPHONE"/>
    <m/>
    <x v="2"/>
    <m/>
    <s v="EKO RISDIYANTORO JATIMULYA"/>
    <m/>
    <x v="2"/>
    <m/>
    <s v="WAHYU PRATAMA"/>
    <m/>
    <s v="LCD"/>
    <m/>
    <s v="OPPO"/>
    <m/>
    <s v="F9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19"/>
    <m/>
    <s v="MF-FP.25129"/>
    <m/>
    <s v="MF-ST.22608"/>
    <m/>
    <d v="2026-05-12T00:00:00"/>
    <m/>
    <s v="Umum"/>
    <m/>
    <s v="C.11946"/>
    <m/>
    <s v="YUNI"/>
    <m/>
    <s v="Achmad Indrawanto"/>
    <m/>
    <s v="SERVICE HANDPHONE"/>
    <m/>
    <x v="0"/>
    <m/>
    <s v="EKO RISDIYANTORO JATIMULYA"/>
    <m/>
    <x v="2"/>
    <m/>
    <s v="WAHYU PRATAMA"/>
    <m/>
    <s v="REPAIR"/>
    <m/>
    <s v="SAMSUNG"/>
    <m/>
    <s v="samsung tab a7 505"/>
    <m/>
    <s v="JASA71"/>
    <m/>
    <s v="JASA REPAIR"/>
    <m/>
    <n v="0"/>
    <m/>
    <n v="1"/>
    <m/>
    <n v="450000"/>
    <m/>
    <n v="450000"/>
    <m/>
    <m/>
    <m/>
    <s v="N/A"/>
  </r>
  <r>
    <m/>
    <x v="19"/>
    <m/>
    <s v="MF-FP.25129"/>
    <m/>
    <s v="MF-ST.22608"/>
    <m/>
    <d v="2026-05-12T00:00:00"/>
    <m/>
    <s v="Umum"/>
    <m/>
    <s v="C.11946"/>
    <m/>
    <s v="YUNI"/>
    <m/>
    <s v="Achmad Indrawanto"/>
    <m/>
    <s v="SERVICE HANDPHONE"/>
    <m/>
    <x v="1"/>
    <m/>
    <s v="EKO RISDIYANTORO JATIMULYA"/>
    <m/>
    <x v="2"/>
    <m/>
    <s v="WAHYU PRATAMA"/>
    <m/>
    <s v="REPAIR"/>
    <m/>
    <s v="SAMSUNG"/>
    <m/>
    <s v="samsung tab a7 505"/>
    <m/>
    <s v="107269"/>
    <m/>
    <s v="LCD.. SAM TAB A7 10.4 2020 T500 T505"/>
    <m/>
    <n v="335000"/>
    <m/>
    <n v="1"/>
    <m/>
    <n v="435000"/>
    <m/>
    <n v="435000"/>
    <m/>
    <m/>
    <m/>
    <s v="N/A"/>
  </r>
  <r>
    <m/>
    <x v="19"/>
    <m/>
    <s v="MF-FP.25129"/>
    <m/>
    <s v="MF-ST.22608"/>
    <m/>
    <d v="2026-05-12T00:00:00"/>
    <m/>
    <s v="Umum"/>
    <m/>
    <s v="C.11946"/>
    <m/>
    <s v="YUNI"/>
    <m/>
    <s v="Achmad Indrawanto"/>
    <m/>
    <s v="SERVICE HANDPHONE"/>
    <m/>
    <x v="2"/>
    <m/>
    <s v="EKO RISDIYANTORO JATIMULYA"/>
    <m/>
    <x v="2"/>
    <m/>
    <s v="WAHYU PRATAMA"/>
    <m/>
    <s v="REPAIR"/>
    <m/>
    <s v="SAMSUNG"/>
    <m/>
    <s v="samsung tab a7 505"/>
    <m/>
    <s v="107200"/>
    <m/>
    <s v="LUNA DATA CABLE TYPE-C CB-2EC"/>
    <m/>
    <n v="9500"/>
    <m/>
    <n v="1"/>
    <m/>
    <n v="15000"/>
    <m/>
    <n v="15000"/>
    <m/>
    <m/>
    <m/>
    <s v="N/A"/>
  </r>
  <r>
    <m/>
    <x v="19"/>
    <m/>
    <s v="MF-FP.25140"/>
    <m/>
    <s v="MF-ST.22644"/>
    <m/>
    <d v="2026-05-13T00:00:00"/>
    <m/>
    <s v="Umum"/>
    <m/>
    <s v="C.13288"/>
    <m/>
    <s v="ARIF"/>
    <m/>
    <s v="WAHYU PRATAMA"/>
    <m/>
    <s v="SERVICE LAPTOP"/>
    <m/>
    <x v="0"/>
    <m/>
    <s v="ARIFIN SANTOSO JATIMULYA"/>
    <m/>
    <x v="6"/>
    <m/>
    <s v="WAHYU PRATAMA"/>
    <m/>
    <s v="CLEAN UP"/>
    <m/>
    <s v="LENOVO"/>
    <m/>
    <s v="LENOV"/>
    <m/>
    <s v="JASA8"/>
    <m/>
    <s v="JASA CLEANUP"/>
    <m/>
    <n v="0"/>
    <m/>
    <n v="1"/>
    <m/>
    <n v="135000"/>
    <m/>
    <n v="135000"/>
    <m/>
    <m/>
    <m/>
    <s v="N/A"/>
  </r>
  <r>
    <m/>
    <x v="19"/>
    <m/>
    <s v="MF-FP.25140"/>
    <m/>
    <s v="MF-ST.22644"/>
    <m/>
    <d v="2026-05-13T00:00:00"/>
    <m/>
    <s v="Umum"/>
    <m/>
    <s v="C.13288"/>
    <m/>
    <s v="ARIF"/>
    <m/>
    <s v="WAHYU PRATAMA"/>
    <m/>
    <s v="SERVICE LAPTOP"/>
    <m/>
    <x v="2"/>
    <m/>
    <s v="ARIFIN SANTOSO JATIMULYA"/>
    <m/>
    <x v="6"/>
    <m/>
    <s v="WAHYU PRATAMA"/>
    <m/>
    <s v="CLEAN UP"/>
    <m/>
    <s v="LENOVO"/>
    <m/>
    <s v="LENOV"/>
    <m/>
    <s v="107200"/>
    <m/>
    <s v="LUNA DATA CABLE TYPE-C CB-2EC"/>
    <m/>
    <n v="9500"/>
    <m/>
    <n v="1"/>
    <m/>
    <n v="15000"/>
    <m/>
    <n v="15000"/>
    <m/>
    <m/>
    <m/>
    <s v="N/A"/>
  </r>
  <r>
    <m/>
    <x v="19"/>
    <m/>
    <s v="MF-FP.25139"/>
    <m/>
    <s v="MF-ST.22634"/>
    <m/>
    <d v="2026-05-13T00:00:00"/>
    <m/>
    <s v="Umum"/>
    <m/>
    <s v="C.13283"/>
    <m/>
    <s v="REMBULAN"/>
    <m/>
    <s v="HANIF"/>
    <m/>
    <s v="SERVICE HANDPHONE"/>
    <m/>
    <x v="2"/>
    <m/>
    <s v="ARI MARWAN"/>
    <m/>
    <x v="0"/>
    <m/>
    <s v="WAHYU PRATAMA"/>
    <m/>
    <s v="HARDWARE"/>
    <m/>
    <s v="VIVO"/>
    <m/>
    <s v="y20s"/>
    <m/>
    <s v="107200"/>
    <m/>
    <s v="LUNA DATA CABLE TYPE-C CB-2EC"/>
    <m/>
    <n v="9500"/>
    <m/>
    <n v="1"/>
    <m/>
    <n v="15000"/>
    <m/>
    <n v="15000"/>
    <m/>
    <m/>
    <m/>
    <s v="N/A"/>
  </r>
  <r>
    <m/>
    <x v="19"/>
    <m/>
    <s v="MF-FP.25139"/>
    <m/>
    <s v="MF-ST.22634"/>
    <m/>
    <d v="2026-05-13T00:00:00"/>
    <m/>
    <s v="Umum"/>
    <m/>
    <s v="C.13283"/>
    <m/>
    <s v="REMBULAN"/>
    <m/>
    <s v="HANIF"/>
    <m/>
    <s v="SERVICE HANDPHONE"/>
    <m/>
    <x v="0"/>
    <m/>
    <s v="ARI MARWAN"/>
    <m/>
    <x v="0"/>
    <m/>
    <s v="WAHYU PRATAMA"/>
    <m/>
    <s v="HARDWARE"/>
    <m/>
    <s v="VIVO"/>
    <m/>
    <s v="y20s"/>
    <m/>
    <s v="JASA71"/>
    <m/>
    <s v="JASA REPAIR"/>
    <m/>
    <n v="0"/>
    <m/>
    <n v="1"/>
    <m/>
    <n v="200000"/>
    <m/>
    <n v="200000"/>
    <m/>
    <m/>
    <m/>
    <s v="N/A"/>
  </r>
  <r>
    <m/>
    <x v="19"/>
    <m/>
    <s v="MF-FP.25139"/>
    <m/>
    <s v="MF-ST.22634"/>
    <m/>
    <d v="2026-05-13T00:00:00"/>
    <m/>
    <s v="Umum"/>
    <m/>
    <s v="C.13283"/>
    <m/>
    <s v="REMBULAN"/>
    <m/>
    <s v="HANIF"/>
    <m/>
    <s v="SERVICE HANDPHONE"/>
    <m/>
    <x v="1"/>
    <m/>
    <s v="ARI MARWAN"/>
    <m/>
    <x v="0"/>
    <m/>
    <s v="WAHYU PRATAMA"/>
    <m/>
    <s v="HARDWARE"/>
    <m/>
    <s v="VIVO"/>
    <m/>
    <s v="y20s"/>
    <m/>
    <s v="100411"/>
    <m/>
    <s v="FLCRG VIV Y20 / Y20S / Y20i / Y12S"/>
    <m/>
    <n v="19125"/>
    <m/>
    <n v="1"/>
    <m/>
    <n v="35000"/>
    <m/>
    <n v="35000"/>
    <m/>
    <m/>
    <m/>
    <s v="N/A"/>
  </r>
  <r>
    <m/>
    <x v="19"/>
    <m/>
    <s v="MF-FP.25130"/>
    <m/>
    <s v="MF-ST.22639"/>
    <m/>
    <d v="2026-05-13T00:00:00"/>
    <m/>
    <s v="Member Reguler"/>
    <m/>
    <s v="C.02159"/>
    <m/>
    <s v="FARHAN FADILAH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m102"/>
    <m/>
    <s v="106942"/>
    <m/>
    <s v="ROBOT MOUSE KABEL M102"/>
    <m/>
    <n v="20000"/>
    <m/>
    <n v="1"/>
    <m/>
    <n v="40000"/>
    <m/>
    <n v="40000"/>
    <m/>
    <s v="ANWAR RHAMDANI SALES"/>
    <m/>
    <s v="N/A"/>
  </r>
  <r>
    <m/>
    <x v="19"/>
    <m/>
    <s v="MF-FP.25131"/>
    <m/>
    <s v="MF-ST.22545"/>
    <m/>
    <d v="2026-05-09T00:00:00"/>
    <m/>
    <s v="Umum"/>
    <m/>
    <s v="C.13232"/>
    <m/>
    <s v="ALFIAN"/>
    <m/>
    <s v="WAHYU PRATAMA"/>
    <m/>
    <s v="SERVICE HANDPHONE"/>
    <m/>
    <x v="0"/>
    <m/>
    <s v="EKO RISDIYANTORO JATIMULYA"/>
    <m/>
    <x v="2"/>
    <m/>
    <s v="WAHYU PRATAMA"/>
    <m/>
    <s v="REPAIR"/>
    <m/>
    <s v="XIAOMI"/>
    <m/>
    <s v="note 7"/>
    <m/>
    <s v="JASA71"/>
    <m/>
    <s v="JASA REPAIR"/>
    <m/>
    <n v="0"/>
    <m/>
    <n v="1"/>
    <m/>
    <n v="235000"/>
    <m/>
    <n v="235000"/>
    <m/>
    <m/>
    <m/>
    <s v="N/A"/>
  </r>
  <r>
    <m/>
    <x v="19"/>
    <m/>
    <s v="MF-FP.25131"/>
    <m/>
    <s v="MF-ST.22545"/>
    <m/>
    <d v="2026-05-09T00:00:00"/>
    <m/>
    <s v="Umum"/>
    <m/>
    <s v="C.13232"/>
    <m/>
    <s v="ALFIAN"/>
    <m/>
    <s v="WAHYU PRATAMA"/>
    <m/>
    <s v="SERVICE HANDPHONE"/>
    <m/>
    <x v="2"/>
    <m/>
    <s v="EKO RISDIYANTORO JATIMULYA"/>
    <m/>
    <x v="2"/>
    <m/>
    <s v="WAHYU PRATAMA"/>
    <m/>
    <s v="REPAIR"/>
    <m/>
    <s v="XIAOMI"/>
    <m/>
    <s v="note 7"/>
    <m/>
    <s v="107200"/>
    <m/>
    <s v="LUNA DATA CABLE TYPE-C CB-2EC"/>
    <m/>
    <n v="9500"/>
    <m/>
    <n v="1"/>
    <m/>
    <n v="15000"/>
    <m/>
    <n v="15000"/>
    <m/>
    <m/>
    <m/>
    <s v="N/A"/>
  </r>
  <r>
    <m/>
    <x v="19"/>
    <m/>
    <s v="MF-FP.25132"/>
    <m/>
    <s v="MF-ST.22536"/>
    <m/>
    <d v="2026-05-09T00:00:00"/>
    <m/>
    <s v="Umum"/>
    <m/>
    <s v="C.11028"/>
    <m/>
    <s v="IBNU"/>
    <m/>
    <s v="WAHYU PRATAMA"/>
    <m/>
    <s v="SERVICE LAPTOP"/>
    <m/>
    <x v="0"/>
    <m/>
    <s v="ABDUL MUNAJAT"/>
    <m/>
    <x v="3"/>
    <m/>
    <s v="WAHYU PRATAMA"/>
    <m/>
    <s v="SSD"/>
    <m/>
    <s v="TOSHIBA"/>
    <m/>
    <s v="Toshiba satelit c800"/>
    <m/>
    <s v="JASA71"/>
    <m/>
    <s v="JASA REPAIR"/>
    <m/>
    <n v="0"/>
    <m/>
    <n v="1"/>
    <m/>
    <n v="650000"/>
    <m/>
    <n v="650000"/>
    <m/>
    <s v="Achmad Indrawanto"/>
    <m/>
    <s v="N/A"/>
  </r>
  <r>
    <m/>
    <x v="19"/>
    <m/>
    <s v="MF-FP.25132"/>
    <m/>
    <s v="MF-ST.22536"/>
    <m/>
    <d v="2026-05-09T00:00:00"/>
    <m/>
    <s v="Umum"/>
    <m/>
    <s v="C.11028"/>
    <m/>
    <s v="IBNU"/>
    <m/>
    <s v="WAHYU PRATAMA"/>
    <m/>
    <s v="SERVICE LAPTOP"/>
    <m/>
    <x v="2"/>
    <m/>
    <s v="ABDUL MUNAJAT"/>
    <m/>
    <x v="3"/>
    <m/>
    <s v="WAHYU PRATAMA"/>
    <m/>
    <s v="SSD"/>
    <m/>
    <s v="TOSHIBA"/>
    <m/>
    <s v="Toshiba satelit c800"/>
    <m/>
    <s v="107200"/>
    <m/>
    <s v="LUNA DATA CABLE TYPE-C CB-2EC"/>
    <m/>
    <n v="9500"/>
    <m/>
    <n v="1"/>
    <m/>
    <n v="15000"/>
    <m/>
    <n v="15000"/>
    <m/>
    <s v="Achmad Indrawanto"/>
    <m/>
    <s v="N/A"/>
  </r>
  <r>
    <m/>
    <x v="19"/>
    <m/>
    <s v="MF-FP.25132"/>
    <m/>
    <s v="MF-ST.22536"/>
    <m/>
    <d v="2026-05-09T00:00:00"/>
    <m/>
    <s v="Umum"/>
    <m/>
    <s v="C.11028"/>
    <m/>
    <s v="IBNU"/>
    <m/>
    <s v="WAHYU PRATAMA"/>
    <m/>
    <s v="SERVICE LAPTOP"/>
    <m/>
    <x v="1"/>
    <m/>
    <s v="ABDUL MUNAJAT"/>
    <m/>
    <x v="3"/>
    <m/>
    <s v="WAHYU PRATAMA"/>
    <m/>
    <s v="SSD"/>
    <m/>
    <s v="TOSHIBA"/>
    <m/>
    <s v="Toshiba satelit c800"/>
    <m/>
    <s v="105739"/>
    <m/>
    <s v="VGEN SSD SATA III RESCUE 256GB"/>
    <m/>
    <n v="643887.67570300004"/>
    <m/>
    <n v="1"/>
    <m/>
    <n v="835000"/>
    <m/>
    <n v="835000"/>
    <m/>
    <s v="Achmad Indrawanto"/>
    <m/>
    <s v="N/A"/>
  </r>
  <r>
    <m/>
    <x v="19"/>
    <m/>
    <s v="MF-FP.25143"/>
    <m/>
    <s v="MF-ST.22558"/>
    <m/>
    <d v="2026-05-09T00:00:00"/>
    <m/>
    <s v="Umum"/>
    <m/>
    <s v="C.13238"/>
    <m/>
    <s v="SULAIMAN"/>
    <m/>
    <s v="HANIF"/>
    <m/>
    <s v="SERVICE LAPTOP"/>
    <m/>
    <x v="0"/>
    <m/>
    <s v="ABDUL MUNAJAT"/>
    <m/>
    <x v="3"/>
    <m/>
    <s v="WAHYU PRATAMA"/>
    <m/>
    <s v="REPAIR"/>
    <m/>
    <s v="BELUM ADA MERK"/>
    <m/>
    <s v="PC Al in one"/>
    <m/>
    <s v="JASA71"/>
    <m/>
    <s v="JASA REPAIR"/>
    <m/>
    <n v="0"/>
    <m/>
    <n v="1"/>
    <m/>
    <n v="240000"/>
    <m/>
    <n v="240000"/>
    <m/>
    <m/>
    <m/>
    <s v="N/A"/>
  </r>
  <r>
    <m/>
    <x v="19"/>
    <m/>
    <s v="MF-FP.25143"/>
    <m/>
    <s v="MF-ST.22558"/>
    <m/>
    <d v="2026-05-09T00:00:00"/>
    <m/>
    <s v="Umum"/>
    <m/>
    <s v="C.13238"/>
    <m/>
    <s v="SULAIMAN"/>
    <m/>
    <s v="HANIF"/>
    <m/>
    <s v="SERVICE LAPTOP"/>
    <m/>
    <x v="2"/>
    <m/>
    <s v="ABDUL MUNAJAT"/>
    <m/>
    <x v="3"/>
    <m/>
    <s v="WAHYU PRATAMA"/>
    <m/>
    <s v="REPAIR"/>
    <m/>
    <s v="BELUM ADA MERK"/>
    <m/>
    <s v="PC Al in one"/>
    <m/>
    <s v="107200"/>
    <m/>
    <s v="LUNA DATA CABLE TYPE-C CB-2EC"/>
    <m/>
    <n v="9500"/>
    <m/>
    <n v="1"/>
    <m/>
    <n v="10000"/>
    <m/>
    <n v="10000"/>
    <m/>
    <m/>
    <m/>
    <s v="N/A"/>
  </r>
  <r>
    <m/>
    <x v="19"/>
    <m/>
    <s v="MF-FP.25142"/>
    <m/>
    <s v="MF-ST.22478"/>
    <m/>
    <d v="2026-05-06T00:00:00"/>
    <m/>
    <s v="Umum"/>
    <m/>
    <s v="C.13206"/>
    <m/>
    <s v="NADIA"/>
    <m/>
    <s v="WAHYU PRATAMA"/>
    <m/>
    <s v="SERVICE LAPTOP"/>
    <m/>
    <x v="2"/>
    <m/>
    <s v="ARIFIN SANTOSO JATIMULYA"/>
    <m/>
    <x v="6"/>
    <m/>
    <s v="Achmad Indrawanto"/>
    <m/>
    <s v="FAN"/>
    <m/>
    <s v="HP"/>
    <m/>
    <s v="HP 14S FQ"/>
    <m/>
    <s v="107200"/>
    <m/>
    <s v="LUNA DATA CABLE TYPE-C CB-2EC"/>
    <m/>
    <n v="9500"/>
    <m/>
    <n v="1"/>
    <m/>
    <n v="20000"/>
    <m/>
    <n v="20000"/>
    <m/>
    <m/>
    <m/>
    <s v="N/A"/>
  </r>
  <r>
    <m/>
    <x v="19"/>
    <m/>
    <s v="MF-FP.25142"/>
    <m/>
    <m/>
    <m/>
    <m/>
    <m/>
    <m/>
    <m/>
    <s v="C.13206"/>
    <m/>
    <s v="NADIA"/>
    <m/>
    <m/>
    <m/>
    <s v="SERVICE LAPTOP"/>
    <m/>
    <x v="1"/>
    <m/>
    <m/>
    <m/>
    <x v="6"/>
    <m/>
    <s v="Achmad Indrawanto"/>
    <m/>
    <m/>
    <m/>
    <m/>
    <m/>
    <m/>
    <m/>
    <s v="105087"/>
    <m/>
    <s v="FAN.. LPT HP PAVILION 14-DQ 14-FQ 15-DY 15-DY1024 15S-FQ 15S-EQ 14S-DQ 15-EF"/>
    <m/>
    <n v="86175"/>
    <m/>
    <n v="1"/>
    <m/>
    <n v="129000"/>
    <m/>
    <n v="129000"/>
    <m/>
    <m/>
    <m/>
    <s v="N/A"/>
  </r>
  <r>
    <m/>
    <x v="19"/>
    <m/>
    <s v="MF-FP.25142"/>
    <m/>
    <s v="MF-ST.22478"/>
    <m/>
    <d v="2026-05-06T00:00:00"/>
    <m/>
    <s v="Umum"/>
    <m/>
    <s v="C.13206"/>
    <m/>
    <s v="NADIA"/>
    <m/>
    <s v="WAHYU PRATAMA"/>
    <m/>
    <s v="SERVICE LAPTOP"/>
    <m/>
    <x v="0"/>
    <m/>
    <s v="ARIFIN SANTOSO JATIMULYA"/>
    <m/>
    <x v="6"/>
    <m/>
    <s v="Achmad Indrawanto"/>
    <m/>
    <s v="FAN"/>
    <m/>
    <s v="HP"/>
    <m/>
    <s v="HP 14S FQ"/>
    <m/>
    <s v="JASA71"/>
    <m/>
    <s v="JASA REPAIR"/>
    <m/>
    <n v="0"/>
    <m/>
    <n v="1"/>
    <m/>
    <n v="301000"/>
    <m/>
    <n v="301000"/>
    <m/>
    <m/>
    <m/>
    <s v="N/A"/>
  </r>
  <r>
    <m/>
    <x v="19"/>
    <m/>
    <s v="MF-FP.25134"/>
    <m/>
    <s v="MF-ST.22641"/>
    <m/>
    <d v="2026-05-13T00:00:00"/>
    <m/>
    <s v="Umum"/>
    <m/>
    <s v="C.08860"/>
    <m/>
    <s v="PIAN"/>
    <m/>
    <s v="WAHYU PRATAMA"/>
    <m/>
    <s v="SERVICE HANDPHONE"/>
    <m/>
    <x v="0"/>
    <m/>
    <s v="EKO RISDIYANTORO JATIMULYA"/>
    <m/>
    <x v="2"/>
    <m/>
    <s v="WAHYU PRATAMA"/>
    <m/>
    <s v="REPAIR"/>
    <m/>
    <s v="XIAOMI"/>
    <m/>
    <s v="note 10s"/>
    <m/>
    <s v="JASA71"/>
    <m/>
    <s v="JASA REPAIR"/>
    <m/>
    <n v="0"/>
    <m/>
    <n v="1"/>
    <m/>
    <n v="245000"/>
    <m/>
    <n v="245000"/>
    <m/>
    <m/>
    <m/>
    <s v="N/A"/>
  </r>
  <r>
    <m/>
    <x v="19"/>
    <m/>
    <s v="MF-FP.25133"/>
    <m/>
    <s v="MF-ST.22622"/>
    <m/>
    <d v="2026-05-12T00:00:00"/>
    <m/>
    <s v="Umum"/>
    <m/>
    <s v="C.13276"/>
    <m/>
    <s v="MELSA"/>
    <m/>
    <s v="HANIF"/>
    <m/>
    <s v="SERVICE LAPTOP"/>
    <m/>
    <x v="0"/>
    <m/>
    <s v="ABDUL MUNAJAT"/>
    <m/>
    <x v="3"/>
    <m/>
    <s v="WAHYU PRATAMA"/>
    <m/>
    <s v="HARDWARE"/>
    <m/>
    <s v="LENOVO"/>
    <m/>
    <s v="Lenovo Ideapad c340"/>
    <m/>
    <s v="JASA71"/>
    <m/>
    <s v="JASA REPAIR"/>
    <m/>
    <n v="0"/>
    <m/>
    <n v="1"/>
    <m/>
    <n v="435000"/>
    <m/>
    <n v="435000"/>
    <m/>
    <m/>
    <m/>
    <s v="N/A"/>
  </r>
  <r>
    <m/>
    <x v="19"/>
    <m/>
    <s v="MF-FP.25134"/>
    <m/>
    <s v="MF-ST.22641"/>
    <m/>
    <d v="2026-05-13T00:00:00"/>
    <m/>
    <s v="Umum"/>
    <m/>
    <s v="C.08860"/>
    <m/>
    <s v="PIAN"/>
    <m/>
    <s v="WAHYU PRATAMA"/>
    <m/>
    <s v="SERVICE HANDPHONE"/>
    <m/>
    <x v="1"/>
    <m/>
    <s v="EKO RISDIYANTORO JATIMULYA"/>
    <m/>
    <x v="2"/>
    <m/>
    <s v="WAHYU PRATAMA"/>
    <m/>
    <s v="REPAIR"/>
    <m/>
    <s v="XIAOMI"/>
    <m/>
    <s v="note 10s"/>
    <m/>
    <s v="100149"/>
    <m/>
    <s v="FLCRG XIO REDMI NOTE 10 4G/NOTE 10S"/>
    <m/>
    <n v="13391.304348"/>
    <m/>
    <n v="1"/>
    <m/>
    <n v="25000"/>
    <m/>
    <n v="25000"/>
    <m/>
    <m/>
    <m/>
    <s v="N/A"/>
  </r>
  <r>
    <m/>
    <x v="19"/>
    <m/>
    <s v="MF-FP.25133"/>
    <m/>
    <s v="MF-ST.22622"/>
    <m/>
    <d v="2026-05-12T00:00:00"/>
    <m/>
    <s v="Umum"/>
    <m/>
    <s v="C.13276"/>
    <m/>
    <s v="MELSA"/>
    <m/>
    <s v="HANIF"/>
    <m/>
    <s v="SERVICE LAPTOP"/>
    <m/>
    <x v="2"/>
    <m/>
    <s v="ABDUL MUNAJAT"/>
    <m/>
    <x v="3"/>
    <m/>
    <s v="WAHYU PRATAMA"/>
    <m/>
    <s v="HARDWARE"/>
    <m/>
    <s v="LENOVO"/>
    <m/>
    <s v="Lenovo Ideapad c340"/>
    <m/>
    <s v="107200"/>
    <m/>
    <s v="LUNA DATA CABLE TYPE-C CB-2EC"/>
    <m/>
    <n v="9500"/>
    <m/>
    <n v="1"/>
    <m/>
    <n v="15000"/>
    <m/>
    <n v="15000"/>
    <m/>
    <m/>
    <m/>
    <s v="N/A"/>
  </r>
  <r>
    <m/>
    <x v="19"/>
    <m/>
    <s v="MF-FP.25135"/>
    <m/>
    <s v="MF-ST.22642"/>
    <m/>
    <d v="2026-05-13T00:00:00"/>
    <m/>
    <s v="Member Reguler"/>
    <m/>
    <s v="C.03398"/>
    <m/>
    <s v="DEFF"/>
    <m/>
    <s v="WAHYU PRATAMA"/>
    <m/>
    <s v="SERVICE HANDPHONE"/>
    <m/>
    <x v="1"/>
    <m/>
    <s v="YUVI NOFERIANTO"/>
    <m/>
    <x v="4"/>
    <m/>
    <s v="WAHYU PRATAMA"/>
    <m/>
    <s v="LCD"/>
    <m/>
    <s v="SAMSUNG"/>
    <m/>
    <s v="A30"/>
    <m/>
    <s v="104026"/>
    <m/>
    <s v="LCD.. SAM A30 / A50 / A50S OLED + FRAME B"/>
    <m/>
    <n v="330000"/>
    <m/>
    <n v="1"/>
    <m/>
    <n v="330000"/>
    <m/>
    <n v="330000"/>
    <m/>
    <s v="CHANDRA PRADITYA GUNAWAN"/>
    <m/>
    <s v="N/A"/>
  </r>
  <r>
    <m/>
    <x v="19"/>
    <m/>
    <s v="MF-FP.25134"/>
    <m/>
    <s v="MF-ST.22641"/>
    <m/>
    <d v="2026-05-13T00:00:00"/>
    <m/>
    <s v="Umum"/>
    <m/>
    <s v="C.08860"/>
    <m/>
    <s v="PIAN"/>
    <m/>
    <s v="WAHYU PRATAMA"/>
    <m/>
    <s v="SERVICE HANDPHONE"/>
    <m/>
    <x v="1"/>
    <m/>
    <s v="EKO RISDIYANTORO JATIMULYA"/>
    <m/>
    <x v="2"/>
    <m/>
    <s v="WAHYU PRATAMA"/>
    <m/>
    <s v="REPAIR"/>
    <m/>
    <s v="XIAOMI"/>
    <m/>
    <s v="note 10s"/>
    <m/>
    <s v="101589"/>
    <m/>
    <s v="FLBRD XIO REDMI NOTE 10 4G/ NOTE 10S"/>
    <m/>
    <n v="8169.2477879999997"/>
    <m/>
    <n v="1"/>
    <m/>
    <n v="15000"/>
    <m/>
    <n v="15000"/>
    <m/>
    <m/>
    <m/>
    <s v="N/A"/>
  </r>
  <r>
    <m/>
    <x v="19"/>
    <m/>
    <s v="MF-FP.25134"/>
    <m/>
    <s v="MF-ST.22641"/>
    <m/>
    <d v="2026-05-13T00:00:00"/>
    <m/>
    <s v="Umum"/>
    <m/>
    <s v="C.08860"/>
    <m/>
    <s v="PIAN"/>
    <m/>
    <s v="WAHYU PRATAMA"/>
    <m/>
    <s v="SERVICE HANDPHONE"/>
    <m/>
    <x v="2"/>
    <m/>
    <s v="EKO RISDIYANTORO JATIMULYA"/>
    <m/>
    <x v="2"/>
    <m/>
    <s v="WAHYU PRATAMA"/>
    <m/>
    <s v="REPAIR"/>
    <m/>
    <s v="XIAOMI"/>
    <m/>
    <s v="note 10s"/>
    <m/>
    <s v="107200"/>
    <m/>
    <s v="LUNA DATA CABLE TYPE-C CB-2EC"/>
    <m/>
    <n v="9500"/>
    <m/>
    <n v="1"/>
    <m/>
    <n v="15000"/>
    <m/>
    <n v="15000"/>
    <m/>
    <m/>
    <m/>
    <s v="N/A"/>
  </r>
  <r>
    <m/>
    <x v="19"/>
    <m/>
    <s v="MF-FP.25136"/>
    <m/>
    <s v="MF-ST.22557"/>
    <m/>
    <d v="2026-05-09T00:00:00"/>
    <m/>
    <s v="Umum"/>
    <m/>
    <s v="C.13237"/>
    <m/>
    <s v="NADIN"/>
    <m/>
    <s v="HANIF"/>
    <m/>
    <s v="SERVICE HANDPHONE"/>
    <m/>
    <x v="0"/>
    <m/>
    <s v="YUVI NOFERIANTO"/>
    <m/>
    <x v="4"/>
    <m/>
    <s v="WAHYU PRATAMA"/>
    <m/>
    <s v="BATERAI"/>
    <m/>
    <s v="VIVO"/>
    <m/>
    <s v="Vivo y51a"/>
    <m/>
    <s v="JASA71"/>
    <m/>
    <s v="JASA REPAIR"/>
    <m/>
    <n v="0"/>
    <m/>
    <n v="1"/>
    <m/>
    <n v="150000"/>
    <m/>
    <n v="150000"/>
    <m/>
    <m/>
    <m/>
    <s v="N/A"/>
  </r>
  <r>
    <m/>
    <x v="19"/>
    <m/>
    <s v="MF-FP.25136"/>
    <m/>
    <s v="MF-ST.22557"/>
    <m/>
    <d v="2026-05-09T00:00:00"/>
    <m/>
    <s v="Umum"/>
    <m/>
    <s v="C.13237"/>
    <m/>
    <s v="NADIN"/>
    <m/>
    <s v="HANIF"/>
    <m/>
    <s v="SERVICE HANDPHONE"/>
    <m/>
    <x v="1"/>
    <m/>
    <s v="YUVI NOFERIANTO"/>
    <m/>
    <x v="4"/>
    <m/>
    <s v="WAHYU PRATAMA"/>
    <m/>
    <s v="BATERAI"/>
    <m/>
    <s v="VIVO"/>
    <m/>
    <s v="Vivo y51a"/>
    <m/>
    <s v="100324"/>
    <m/>
    <s v="BATER VIV Y51 2020/Y31/Y51A/Y53s B08"/>
    <m/>
    <n v="93949.183843000006"/>
    <m/>
    <n v="1"/>
    <m/>
    <n v="135000"/>
    <m/>
    <n v="135000"/>
    <m/>
    <m/>
    <m/>
    <s v="N/A"/>
  </r>
  <r>
    <m/>
    <x v="19"/>
    <m/>
    <s v="MF-FP.25136"/>
    <m/>
    <s v="MF-ST.22557"/>
    <m/>
    <d v="2026-05-09T00:00:00"/>
    <m/>
    <s v="Umum"/>
    <m/>
    <s v="C.13237"/>
    <m/>
    <s v="NADIN"/>
    <m/>
    <s v="HANIF"/>
    <m/>
    <s v="SERVICE HANDPHONE"/>
    <m/>
    <x v="2"/>
    <m/>
    <s v="YUVI NOFERIANTO"/>
    <m/>
    <x v="4"/>
    <m/>
    <s v="WAHYU PRATAMA"/>
    <m/>
    <s v="BATERAI"/>
    <m/>
    <s v="VIVO"/>
    <m/>
    <s v="Vivo y51a"/>
    <m/>
    <s v="107200"/>
    <m/>
    <s v="LUNA DATA CABLE TYPE-C CB-2EC"/>
    <m/>
    <n v="9500"/>
    <m/>
    <n v="1"/>
    <m/>
    <n v="15000"/>
    <m/>
    <n v="15000"/>
    <m/>
    <m/>
    <m/>
    <s v="N/A"/>
  </r>
  <r>
    <m/>
    <x v="19"/>
    <m/>
    <s v="MF-FP.25145"/>
    <m/>
    <s v="MF-ST.22479"/>
    <m/>
    <d v="2026-05-06T00:00:00"/>
    <m/>
    <s v="Member Reguler"/>
    <m/>
    <s v="C.13207"/>
    <m/>
    <s v="SUBHAN"/>
    <m/>
    <s v="Achmad Indrawanto"/>
    <m/>
    <s v="SERVICE HANDPHONE"/>
    <m/>
    <x v="0"/>
    <m/>
    <s v="MUSTOFA"/>
    <m/>
    <x v="1"/>
    <m/>
    <s v="WAHYU PRATAMA"/>
    <m/>
    <s v="LCD"/>
    <m/>
    <s v="SAMSUNG"/>
    <m/>
    <s v="Samsung s22"/>
    <m/>
    <s v="JASA71"/>
    <m/>
    <s v="JASA REPAIR"/>
    <m/>
    <n v="0"/>
    <m/>
    <n v="1"/>
    <m/>
    <n v="2000000"/>
    <m/>
    <n v="2000000"/>
    <m/>
    <s v="Achmad Indrawanto"/>
    <m/>
    <s v="N/A"/>
  </r>
  <r>
    <m/>
    <x v="19"/>
    <m/>
    <s v="MF-FP.25144"/>
    <m/>
    <s v="MF-ST.22647"/>
    <m/>
    <d v="2026-05-13T00:00:00"/>
    <m/>
    <s v="Member Reguler"/>
    <m/>
    <s v="C.13290"/>
    <m/>
    <s v="ERWIN"/>
    <m/>
    <s v="Achmad Indrawanto"/>
    <m/>
    <s v="SERVICE LAPTOP"/>
    <m/>
    <x v="0"/>
    <m/>
    <s v="ABDUL MUNAJAT"/>
    <m/>
    <x v="3"/>
    <m/>
    <s v="WAHYU PRATAMA"/>
    <m/>
    <s v="LCD"/>
    <m/>
    <s v="LENOVO"/>
    <m/>
    <s v="Lenovo V14 G2"/>
    <m/>
    <s v="JASA71"/>
    <m/>
    <s v="JASA REPAIR"/>
    <m/>
    <n v="0"/>
    <m/>
    <n v="1"/>
    <m/>
    <n v="650000"/>
    <m/>
    <n v="650000"/>
    <m/>
    <s v="Achmad Indrawanto"/>
    <m/>
    <s v="N/A"/>
  </r>
  <r>
    <m/>
    <x v="19"/>
    <m/>
    <s v="MF-FP.25144"/>
    <m/>
    <s v="MF-ST.22647"/>
    <m/>
    <d v="2026-05-13T00:00:00"/>
    <m/>
    <s v="Member Reguler"/>
    <m/>
    <s v="C.13290"/>
    <m/>
    <s v="ERWIN"/>
    <m/>
    <s v="Achmad Indrawanto"/>
    <m/>
    <s v="SERVICE LAPTOP"/>
    <m/>
    <x v="1"/>
    <m/>
    <s v="ABDUL MUNAJAT"/>
    <m/>
    <x v="3"/>
    <m/>
    <s v="WAHYU PRATAMA"/>
    <m/>
    <s v="LCD"/>
    <m/>
    <s v="LENOVO"/>
    <m/>
    <s v="Lenovo V14 G2"/>
    <m/>
    <s v="107168"/>
    <m/>
    <s v="LCD.. LPT 13.3IN SLIM 30 PIN SMALL HD"/>
    <m/>
    <n v="675000"/>
    <m/>
    <n v="1"/>
    <m/>
    <n v="835000"/>
    <m/>
    <n v="835000"/>
    <m/>
    <s v="Achmad Indrawanto"/>
    <m/>
    <s v="N/A"/>
  </r>
  <r>
    <m/>
    <x v="19"/>
    <m/>
    <s v="MF-FP.25144"/>
    <m/>
    <s v="MF-ST.22647"/>
    <m/>
    <d v="2026-05-13T00:00:00"/>
    <m/>
    <s v="Member Reguler"/>
    <m/>
    <s v="C.13290"/>
    <m/>
    <s v="ERWIN"/>
    <m/>
    <s v="Achmad Indrawanto"/>
    <m/>
    <s v="SERVICE LAPTOP"/>
    <m/>
    <x v="2"/>
    <m/>
    <s v="ABDUL MUNAJAT"/>
    <m/>
    <x v="3"/>
    <m/>
    <s v="WAHYU PRATAMA"/>
    <m/>
    <s v="LCD"/>
    <m/>
    <s v="LENOVO"/>
    <m/>
    <s v="Lenovo V14 G2"/>
    <m/>
    <s v="107200"/>
    <m/>
    <s v="LUNA DATA CABLE TYPE-C CB-2EC"/>
    <m/>
    <n v="9500"/>
    <m/>
    <n v="1"/>
    <m/>
    <n v="15000"/>
    <m/>
    <n v="15000"/>
    <m/>
    <s v="Achmad Indrawanto"/>
    <m/>
    <s v="N/A"/>
  </r>
  <r>
    <m/>
    <x v="19"/>
    <m/>
    <s v="MF-FP.25145"/>
    <m/>
    <s v="MF-ST.22479"/>
    <m/>
    <d v="2026-05-06T00:00:00"/>
    <m/>
    <s v="Member Reguler"/>
    <m/>
    <s v="C.13207"/>
    <m/>
    <s v="SUBHAN"/>
    <m/>
    <s v="Achmad Indrawanto"/>
    <m/>
    <s v="SERVICE HANDPHONE"/>
    <m/>
    <x v="1"/>
    <m/>
    <s v="MUSTOFA"/>
    <m/>
    <x v="1"/>
    <m/>
    <s v="WAHYU PRATAMA"/>
    <m/>
    <s v="LCD"/>
    <m/>
    <s v="SAMSUNG"/>
    <m/>
    <s v="Samsung s22"/>
    <m/>
    <s v="106864"/>
    <m/>
    <s v="LCD.. SAM S22 ORI B"/>
    <m/>
    <n v="2400000"/>
    <m/>
    <n v="1"/>
    <m/>
    <n v="2990000"/>
    <m/>
    <n v="2990000"/>
    <m/>
    <s v="Achmad Indrawanto"/>
    <m/>
    <s v="N/A"/>
  </r>
  <r>
    <m/>
    <x v="19"/>
    <m/>
    <s v="MF-FP.25145"/>
    <m/>
    <s v="MF-ST.22479"/>
    <m/>
    <d v="2026-05-06T00:00:00"/>
    <m/>
    <s v="Member Reguler"/>
    <m/>
    <s v="C.13207"/>
    <m/>
    <s v="SUBHAN"/>
    <m/>
    <s v="Achmad Indrawanto"/>
    <m/>
    <s v="SERVICE HANDPHONE"/>
    <m/>
    <x v="2"/>
    <m/>
    <s v="MUSTOFA"/>
    <m/>
    <x v="1"/>
    <m/>
    <s v="WAHYU PRATAMA"/>
    <m/>
    <s v="LCD"/>
    <m/>
    <s v="SAMSUNG"/>
    <m/>
    <s v="Samsung s22"/>
    <m/>
    <s v="107200"/>
    <m/>
    <s v="LUNA DATA CABLE TYPE-C CB-2EC"/>
    <m/>
    <n v="9500"/>
    <m/>
    <n v="1"/>
    <m/>
    <n v="10000"/>
    <m/>
    <n v="10000"/>
    <m/>
    <s v="Achmad Indrawanto"/>
    <m/>
    <s v="N/A"/>
  </r>
  <r>
    <m/>
    <x v="20"/>
    <m/>
    <s v="MF-FP.25179"/>
    <m/>
    <s v="MF-ST.22685"/>
    <m/>
    <d v="2026-05-14T00:00:00"/>
    <m/>
    <s v="Umum"/>
    <m/>
    <s v="C.00000"/>
    <m/>
    <s v="Pelanggan Umum"/>
    <m/>
    <s v="WAHYU PRATAMA"/>
    <m/>
    <s v="SERVICE LAPTOP"/>
    <m/>
    <x v="0"/>
    <m/>
    <s v="ABDUL MUNAJAT"/>
    <m/>
    <x v="3"/>
    <m/>
    <s v="WAHYU PRATAMA"/>
    <m/>
    <s v="REPAIR"/>
    <m/>
    <s v="ASUS"/>
    <m/>
    <s v="SU"/>
    <m/>
    <s v="JASA71"/>
    <m/>
    <s v="JASA REPAIR"/>
    <m/>
    <n v="0"/>
    <m/>
    <n v="1"/>
    <m/>
    <n v="50000"/>
    <m/>
    <n v="50000"/>
    <m/>
    <m/>
    <m/>
    <s v="N/A"/>
  </r>
  <r>
    <m/>
    <x v="20"/>
    <m/>
    <s v="MF-FP.25146"/>
    <m/>
    <s v="MF-ST.22655"/>
    <m/>
    <d v="2026-05-14T00:00:00"/>
    <m/>
    <s v="Member Reguler"/>
    <m/>
    <s v="C.13295"/>
    <m/>
    <s v="BAGUS"/>
    <m/>
    <s v="Achmad Indrawanto"/>
    <m/>
    <s v="SERVICE HANDPHONE"/>
    <m/>
    <x v="0"/>
    <m/>
    <s v="YUVI NOFERIANTO"/>
    <m/>
    <x v="4"/>
    <m/>
    <s v="Achmad Indrawanto"/>
    <m/>
    <s v="REPAIR"/>
    <m/>
    <s v="SAMSUNG"/>
    <m/>
    <s v="samsung M32"/>
    <m/>
    <s v="JASA71"/>
    <m/>
    <s v="JASA REPAIR"/>
    <m/>
    <n v="0"/>
    <m/>
    <n v="1"/>
    <m/>
    <n v="55000"/>
    <m/>
    <n v="55000"/>
    <m/>
    <s v="Achmad Indrawanto"/>
    <m/>
    <s v="N/A"/>
  </r>
  <r>
    <m/>
    <x v="20"/>
    <m/>
    <s v="MF-FP.25146"/>
    <m/>
    <s v="MF-ST.22655"/>
    <m/>
    <d v="2026-05-14T00:00:00"/>
    <m/>
    <s v="Member Reguler"/>
    <m/>
    <s v="C.13295"/>
    <m/>
    <s v="BAGUS"/>
    <m/>
    <s v="Achmad Indrawanto"/>
    <m/>
    <s v="SERVICE HANDPHONE"/>
    <m/>
    <x v="2"/>
    <m/>
    <s v="YUVI NOFERIANTO"/>
    <m/>
    <x v="4"/>
    <m/>
    <s v="Achmad Indrawanto"/>
    <m/>
    <s v="REPAIR"/>
    <m/>
    <s v="SAMSUNG"/>
    <m/>
    <s v="samsung M32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0"/>
    <m/>
    <s v="MF-FP.25147"/>
    <m/>
    <s v="MF-ST.22659"/>
    <m/>
    <d v="2026-05-14T00:00:00"/>
    <m/>
    <s v="Member Reguler"/>
    <m/>
    <s v="C.13296"/>
    <m/>
    <s v="RIANA"/>
    <m/>
    <s v="Achmad Indrawanto"/>
    <m/>
    <s v="SERVICE HANDPHONE"/>
    <m/>
    <x v="0"/>
    <m/>
    <s v="YUVI NOFERIANTO"/>
    <m/>
    <x v="4"/>
    <m/>
    <s v="Achmad Indrawanto"/>
    <m/>
    <s v="FLEXIBEL VOLUME"/>
    <m/>
    <s v="OPPO"/>
    <m/>
    <s v="Oppo a12"/>
    <m/>
    <s v="JASA71"/>
    <m/>
    <s v="JASA REPAIR"/>
    <m/>
    <n v="0"/>
    <m/>
    <n v="1"/>
    <m/>
    <n v="118000"/>
    <m/>
    <n v="118000"/>
    <m/>
    <s v="Achmad Indrawanto"/>
    <m/>
    <s v="N/A"/>
  </r>
  <r>
    <m/>
    <x v="20"/>
    <m/>
    <s v="MF-FP.25147"/>
    <m/>
    <s v="MF-ST.22659"/>
    <m/>
    <d v="2026-05-14T00:00:00"/>
    <m/>
    <s v="Member Reguler"/>
    <m/>
    <s v="C.13296"/>
    <m/>
    <s v="RIANA"/>
    <m/>
    <s v="Achmad Indrawanto"/>
    <m/>
    <s v="SERVICE HANDPHONE"/>
    <m/>
    <x v="1"/>
    <m/>
    <s v="YUVI NOFERIANTO"/>
    <m/>
    <x v="4"/>
    <m/>
    <s v="Achmad Indrawanto"/>
    <m/>
    <s v="FLEXIBEL VOLUME"/>
    <m/>
    <s v="OPPO"/>
    <m/>
    <s v="Oppo a12"/>
    <m/>
    <s v="102475"/>
    <m/>
    <s v="FLVLM OPP A5s/A12/A11K"/>
    <m/>
    <n v="5600"/>
    <m/>
    <n v="1"/>
    <m/>
    <n v="12000"/>
    <m/>
    <n v="12000"/>
    <m/>
    <s v="Achmad Indrawanto"/>
    <m/>
    <s v="N/A"/>
  </r>
  <r>
    <m/>
    <x v="20"/>
    <m/>
    <s v="MF-FP.25147"/>
    <m/>
    <s v="MF-ST.22659"/>
    <m/>
    <d v="2026-05-14T00:00:00"/>
    <m/>
    <s v="Member Reguler"/>
    <m/>
    <s v="C.13296"/>
    <m/>
    <s v="RIANA"/>
    <m/>
    <s v="Achmad Indrawanto"/>
    <m/>
    <s v="SERVICE HANDPHONE"/>
    <m/>
    <x v="2"/>
    <m/>
    <s v="YUVI NOFERIANTO"/>
    <m/>
    <x v="4"/>
    <m/>
    <s v="Achmad Indrawanto"/>
    <m/>
    <s v="FLEXIBEL VOLUME"/>
    <m/>
    <s v="OPPO"/>
    <m/>
    <s v="Oppo a12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0"/>
    <m/>
    <s v="MF-FP.25160"/>
    <m/>
    <s v="MF-ST.22584"/>
    <m/>
    <d v="2026-05-10T00:00:00"/>
    <m/>
    <s v="Umum"/>
    <m/>
    <s v="C.10182"/>
    <m/>
    <s v="RIKI ARDANA"/>
    <m/>
    <s v="WAHYU PRATAMA"/>
    <m/>
    <s v="SERVICE HANDPHONE"/>
    <m/>
    <x v="0"/>
    <m/>
    <s v="MUSTOFA"/>
    <m/>
    <x v="1"/>
    <m/>
    <s v="HANIF"/>
    <m/>
    <s v="FLEXIBEL CHARGER (PAPAN KONEKTOR)"/>
    <m/>
    <s v="SAMSUNG"/>
    <m/>
    <s v="A51"/>
    <m/>
    <s v="JASA71"/>
    <m/>
    <s v="JASA REPAIR"/>
    <m/>
    <n v="0"/>
    <m/>
    <n v="1"/>
    <m/>
    <n v="180000"/>
    <m/>
    <n v="180000"/>
    <m/>
    <m/>
    <m/>
    <s v="N/A"/>
  </r>
  <r>
    <m/>
    <x v="20"/>
    <m/>
    <s v="MF-FP.25160"/>
    <m/>
    <s v="MF-ST.22584"/>
    <m/>
    <d v="2026-05-10T00:00:00"/>
    <m/>
    <s v="Umum"/>
    <m/>
    <s v="C.10182"/>
    <m/>
    <s v="RIKI ARDANA"/>
    <m/>
    <s v="WAHYU PRATAMA"/>
    <m/>
    <s v="SERVICE HANDPHONE"/>
    <m/>
    <x v="1"/>
    <m/>
    <s v="MUSTOFA"/>
    <m/>
    <x v="1"/>
    <m/>
    <s v="HANIF"/>
    <m/>
    <s v="FLEXIBEL CHARGER (PAPAN KONEKTOR)"/>
    <m/>
    <s v="SAMSUNG"/>
    <m/>
    <s v="A51"/>
    <m/>
    <s v="100455"/>
    <m/>
    <s v="FLCRG SAM A51/A515/A515F"/>
    <m/>
    <n v="20000"/>
    <m/>
    <n v="1"/>
    <m/>
    <n v="50000"/>
    <m/>
    <n v="50000"/>
    <m/>
    <m/>
    <m/>
    <s v="N/A"/>
  </r>
  <r>
    <m/>
    <x v="20"/>
    <m/>
    <s v="MF-FP.25160"/>
    <m/>
    <s v="MF-ST.22584"/>
    <m/>
    <d v="2026-05-10T00:00:00"/>
    <m/>
    <s v="Umum"/>
    <m/>
    <s v="C.10182"/>
    <m/>
    <s v="RIKI ARDANA"/>
    <m/>
    <s v="WAHYU PRATAMA"/>
    <m/>
    <s v="SERVICE HANDPHONE"/>
    <m/>
    <x v="2"/>
    <m/>
    <s v="MUSTOFA"/>
    <m/>
    <x v="1"/>
    <m/>
    <s v="HANIF"/>
    <m/>
    <s v="FLEXIBEL CHARGER (PAPAN KONEKTOR)"/>
    <m/>
    <s v="SAMSUNG"/>
    <m/>
    <s v="A51"/>
    <m/>
    <s v="107200"/>
    <m/>
    <s v="LUNA DATA CABLE TYPE-C CB-2EC"/>
    <m/>
    <n v="9500"/>
    <m/>
    <n v="1"/>
    <m/>
    <n v="20000"/>
    <m/>
    <n v="20000"/>
    <m/>
    <m/>
    <m/>
    <s v="N/A"/>
  </r>
  <r>
    <m/>
    <x v="20"/>
    <m/>
    <s v="MF-FP.25150"/>
    <m/>
    <s v="MF-ST.22656"/>
    <m/>
    <d v="2026-05-14T00:00:00"/>
    <m/>
    <s v="Member Reguler"/>
    <m/>
    <s v="MJ2807"/>
    <m/>
    <s v="TARIYONO"/>
    <m/>
    <s v="Achmad Indrawanto"/>
    <m/>
    <s v="SERVICE HANDPHONE"/>
    <m/>
    <x v="0"/>
    <m/>
    <s v="YUVI NOFERIANTO"/>
    <m/>
    <x v="4"/>
    <m/>
    <s v="Achmad Indrawanto"/>
    <m/>
    <s v="LCD"/>
    <m/>
    <s v="SAMSUNG"/>
    <m/>
    <s v="Samsung a05"/>
    <m/>
    <s v="JASA71"/>
    <m/>
    <s v="JASA REPAIR"/>
    <m/>
    <n v="0"/>
    <m/>
    <n v="1"/>
    <m/>
    <n v="185000"/>
    <m/>
    <n v="185000"/>
    <m/>
    <s v="Achmad Indrawanto"/>
    <m/>
    <s v="N/A"/>
  </r>
  <r>
    <m/>
    <x v="20"/>
    <m/>
    <s v="MF-FP.25150"/>
    <m/>
    <s v="MF-ST.22656"/>
    <m/>
    <d v="2026-05-14T00:00:00"/>
    <m/>
    <s v="Member Reguler"/>
    <m/>
    <s v="MJ2807"/>
    <m/>
    <s v="TARIYONO"/>
    <m/>
    <s v="Achmad Indrawanto"/>
    <m/>
    <s v="SERVICE HANDPHONE"/>
    <m/>
    <x v="1"/>
    <m/>
    <s v="YUVI NOFERIANTO"/>
    <m/>
    <x v="4"/>
    <m/>
    <s v="Achmad Indrawanto"/>
    <m/>
    <s v="LCD"/>
    <m/>
    <s v="SAMSUNG"/>
    <m/>
    <s v="Samsung a05"/>
    <m/>
    <s v="103656"/>
    <m/>
    <s v="LCD.. SAM A05 B"/>
    <m/>
    <n v="134578.15734999999"/>
    <m/>
    <n v="1"/>
    <m/>
    <n v="195000"/>
    <m/>
    <n v="195000"/>
    <m/>
    <s v="Achmad Indrawanto"/>
    <m/>
    <s v="N/A"/>
  </r>
  <r>
    <m/>
    <x v="20"/>
    <m/>
    <s v="MF-FP.25150"/>
    <m/>
    <s v="MF-ST.22656"/>
    <m/>
    <d v="2026-05-14T00:00:00"/>
    <m/>
    <s v="Member Reguler"/>
    <m/>
    <s v="MJ2807"/>
    <m/>
    <s v="TARIYONO"/>
    <m/>
    <s v="Achmad Indrawanto"/>
    <m/>
    <s v="SERVICE HANDPHONE"/>
    <m/>
    <x v="2"/>
    <m/>
    <s v="YUVI NOFERIANTO"/>
    <m/>
    <x v="4"/>
    <m/>
    <s v="Achmad Indrawanto"/>
    <m/>
    <s v="LCD"/>
    <m/>
    <s v="SAMSUNG"/>
    <m/>
    <s v="Samsung a05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0"/>
    <m/>
    <s v="MF-FP.25161"/>
    <m/>
    <s v="MF-ST.22546"/>
    <m/>
    <d v="2026-05-09T00:00:00"/>
    <m/>
    <s v="Member Reguler"/>
    <m/>
    <s v="MJ06993"/>
    <m/>
    <s v="ILHAM"/>
    <m/>
    <s v="HANIF"/>
    <m/>
    <s v="SERVICE LAPTOP"/>
    <m/>
    <x v="0"/>
    <m/>
    <s v="ARIFIN SANTOSO JATIMULYA"/>
    <m/>
    <x v="6"/>
    <m/>
    <s v="HANIF"/>
    <m/>
    <s v="ENGSEL"/>
    <m/>
    <s v="LENOVO"/>
    <m/>
    <s v="Lenovo ideapad V14G2 ITL"/>
    <m/>
    <s v="JASA71"/>
    <m/>
    <s v="JASA REPAIR"/>
    <m/>
    <n v="0"/>
    <m/>
    <n v="1"/>
    <m/>
    <n v="880000"/>
    <m/>
    <n v="880000"/>
    <m/>
    <s v="Achmad Indrawanto"/>
    <m/>
    <s v="N/A"/>
  </r>
  <r>
    <m/>
    <x v="20"/>
    <m/>
    <s v="MF-FP.25151"/>
    <m/>
    <s v="MF-ST.22531"/>
    <m/>
    <d v="2026-05-09T00:00:00"/>
    <m/>
    <s v="Umum"/>
    <m/>
    <s v="C.13227"/>
    <m/>
    <s v="UDA PIA"/>
    <m/>
    <s v="WAHYU PRATAMA"/>
    <m/>
    <s v="SERVICE HANDPHONE"/>
    <m/>
    <x v="2"/>
    <m/>
    <s v="EKO RISDIYANTORO JATIMULYA"/>
    <m/>
    <x v="2"/>
    <m/>
    <s v="Achmad Indrawanto"/>
    <m/>
    <s v="KAMERA BELAKANG"/>
    <m/>
    <s v="XIAOMI"/>
    <m/>
    <s v="9C"/>
    <m/>
    <s v="107200"/>
    <m/>
    <s v="LUNA DATA CABLE TYPE-C CB-2EC"/>
    <m/>
    <n v="9500"/>
    <m/>
    <n v="1"/>
    <m/>
    <n v="20000"/>
    <m/>
    <n v="20000"/>
    <m/>
    <m/>
    <m/>
    <s v="N/A"/>
  </r>
  <r>
    <m/>
    <x v="20"/>
    <m/>
    <s v="MF-FP.25161"/>
    <m/>
    <s v="MF-ST.22546"/>
    <m/>
    <d v="2026-05-09T00:00:00"/>
    <m/>
    <s v="Member Reguler"/>
    <m/>
    <s v="MJ06993"/>
    <m/>
    <s v="ILHAM"/>
    <m/>
    <s v="HANIF"/>
    <m/>
    <s v="SERVICE LAPTOP"/>
    <m/>
    <x v="2"/>
    <m/>
    <s v="ARIFIN SANTOSO JATIMULYA"/>
    <m/>
    <x v="6"/>
    <m/>
    <s v="HANIF"/>
    <m/>
    <s v="ENGSEL"/>
    <m/>
    <s v="LENOVO"/>
    <m/>
    <s v="Lenovo ideapad V14G2 ITL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0"/>
    <m/>
    <s v="MF-FP.25151"/>
    <m/>
    <s v="MF-ST.22531"/>
    <m/>
    <d v="2026-05-09T00:00:00"/>
    <m/>
    <s v="Umum"/>
    <m/>
    <s v="C.13227"/>
    <m/>
    <s v="UDA PIA"/>
    <m/>
    <s v="WAHYU PRATAMA"/>
    <m/>
    <s v="SERVICE HANDPHONE"/>
    <m/>
    <x v="0"/>
    <m/>
    <s v="EKO RISDIYANTORO JATIMULYA"/>
    <m/>
    <x v="2"/>
    <m/>
    <s v="Achmad Indrawanto"/>
    <m/>
    <s v="KAMERA BELAKANG"/>
    <m/>
    <s v="XIAOMI"/>
    <m/>
    <s v="9C"/>
    <m/>
    <s v="JASA71"/>
    <m/>
    <s v="JASA REPAIR"/>
    <m/>
    <n v="0"/>
    <m/>
    <n v="1"/>
    <m/>
    <n v="135000"/>
    <m/>
    <n v="135000"/>
    <m/>
    <m/>
    <m/>
    <s v="N/A"/>
  </r>
  <r>
    <m/>
    <x v="20"/>
    <m/>
    <s v="MF-FP.25151"/>
    <m/>
    <s v="MF-ST.22531"/>
    <m/>
    <d v="2026-05-09T00:00:00"/>
    <m/>
    <s v="Umum"/>
    <m/>
    <s v="C.13227"/>
    <m/>
    <s v="UDA PIA"/>
    <m/>
    <s v="WAHYU PRATAMA"/>
    <m/>
    <s v="SERVICE HANDPHONE"/>
    <m/>
    <x v="1"/>
    <m/>
    <s v="EKO RISDIYANTORO JATIMULYA"/>
    <m/>
    <x v="2"/>
    <m/>
    <s v="Achmad Indrawanto"/>
    <m/>
    <s v="KAMERA BELAKANG"/>
    <m/>
    <s v="XIAOMI"/>
    <m/>
    <s v="9C"/>
    <m/>
    <s v="107262"/>
    <m/>
    <s v="KCKMR XIO REDMI 9C"/>
    <m/>
    <n v="9000"/>
    <m/>
    <n v="1"/>
    <m/>
    <n v="15000"/>
    <m/>
    <n v="15000"/>
    <m/>
    <m/>
    <m/>
    <s v="N/A"/>
  </r>
  <r>
    <m/>
    <x v="20"/>
    <m/>
    <s v="MF-FP.25151"/>
    <m/>
    <s v="MF-ST.22531"/>
    <m/>
    <d v="2026-05-09T00:00:00"/>
    <m/>
    <s v="Umum"/>
    <m/>
    <s v="C.13227"/>
    <m/>
    <s v="UDA PIA"/>
    <m/>
    <s v="WAHYU PRATAMA"/>
    <m/>
    <s v="SERVICE HANDPHONE"/>
    <m/>
    <x v="1"/>
    <m/>
    <s v="EKO RISDIYANTORO JATIMULYA"/>
    <m/>
    <x v="2"/>
    <m/>
    <s v="Achmad Indrawanto"/>
    <m/>
    <s v="KAMERA BELAKANG"/>
    <m/>
    <s v="XIAOMI"/>
    <m/>
    <s v="9C"/>
    <m/>
    <s v="107260"/>
    <m/>
    <s v="KMBLK XIO REDMI 9C"/>
    <m/>
    <n v="61900"/>
    <m/>
    <n v="1"/>
    <m/>
    <n v="80000"/>
    <m/>
    <n v="80000"/>
    <m/>
    <m/>
    <m/>
    <s v="N/A"/>
  </r>
  <r>
    <m/>
    <x v="20"/>
    <m/>
    <s v="MF-FP.25153"/>
    <m/>
    <s v="MF-ST.22662"/>
    <m/>
    <d v="2026-05-14T00:00:00"/>
    <m/>
    <s v="Member Reguler"/>
    <m/>
    <s v="C.13299"/>
    <m/>
    <s v="SENO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0025"/>
    <m/>
    <s v="VIVAN HYDROGEL BASIC CRYSTAL CLEAR VSP01T"/>
    <m/>
    <n v="11151.582562"/>
    <m/>
    <n v="1"/>
    <m/>
    <n v="75000"/>
    <m/>
    <n v="75000"/>
    <m/>
    <s v="Achmad Indrawanto"/>
    <m/>
    <s v="N/A"/>
  </r>
  <r>
    <m/>
    <x v="20"/>
    <m/>
    <s v="MF-FP.25162"/>
    <m/>
    <s v="MF-ST.22652"/>
    <m/>
    <d v="2026-05-13T00:00:00"/>
    <m/>
    <s v="Member Reguler"/>
    <m/>
    <s v="C.01703"/>
    <m/>
    <s v="JON FERI"/>
    <m/>
    <s v="WAHYU PRATAMA"/>
    <m/>
    <s v="SERVICE HANDPHONE"/>
    <m/>
    <x v="0"/>
    <m/>
    <s v="MUSTOFA"/>
    <m/>
    <x v="1"/>
    <m/>
    <s v="HANIF"/>
    <m/>
    <s v="REPAIR"/>
    <m/>
    <s v="XIAOMI"/>
    <m/>
    <s v="M3"/>
    <m/>
    <s v="JASA71"/>
    <m/>
    <s v="JASA REPAIR"/>
    <m/>
    <n v="0"/>
    <m/>
    <n v="1"/>
    <m/>
    <n v="205000"/>
    <m/>
    <n v="205000"/>
    <m/>
    <s v="Achmad Indrawanto"/>
    <m/>
    <s v="N/A"/>
  </r>
  <r>
    <m/>
    <x v="20"/>
    <m/>
    <s v="MF-FP.25154"/>
    <m/>
    <s v="MF-ST.22663"/>
    <m/>
    <d v="2026-05-14T00:00:00"/>
    <m/>
    <s v="Member Reguler"/>
    <m/>
    <s v="C.13299"/>
    <m/>
    <s v="SENO"/>
    <m/>
    <s v="Achmad Indrawanto"/>
    <m/>
    <s v="SERVICE HANDPHONE"/>
    <m/>
    <x v="0"/>
    <m/>
    <s v="YUVI NOFERIANTO"/>
    <m/>
    <x v="4"/>
    <m/>
    <s v="Achmad Indrawanto"/>
    <m/>
    <s v="REPAIR"/>
    <m/>
    <s v="SAMSUNG"/>
    <m/>
    <s v="SAM"/>
    <m/>
    <s v="JASA71"/>
    <m/>
    <s v="JASA REPAIR"/>
    <m/>
    <n v="0"/>
    <m/>
    <n v="1"/>
    <m/>
    <n v="35000"/>
    <m/>
    <n v="35000"/>
    <m/>
    <s v="Achmad Indrawanto"/>
    <m/>
    <s v="N/A"/>
  </r>
  <r>
    <m/>
    <x v="20"/>
    <m/>
    <s v="MF-FP.25152"/>
    <m/>
    <s v="MF-ST.22661"/>
    <m/>
    <d v="2026-05-14T00:00:00"/>
    <m/>
    <s v="Member Reguler"/>
    <m/>
    <s v="C.13298"/>
    <m/>
    <s v="AMRI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VSP"/>
    <m/>
    <s v="100024"/>
    <m/>
    <s v="VIVAN HYDROGEL BASIC ANTI GLARE VSP03T"/>
    <m/>
    <n v="14190.080550000001"/>
    <m/>
    <n v="1"/>
    <m/>
    <n v="75000"/>
    <m/>
    <n v="75000"/>
    <m/>
    <s v="Achmad Indrawanto"/>
    <m/>
    <s v="N/A"/>
  </r>
  <r>
    <m/>
    <x v="20"/>
    <m/>
    <s v="MF-FP.25155"/>
    <m/>
    <s v="MF-ST.22657"/>
    <m/>
    <d v="2026-05-14T00:00:00"/>
    <m/>
    <s v="Umum"/>
    <m/>
    <s v="C.12313"/>
    <m/>
    <s v="MUKLIS"/>
    <m/>
    <s v="Achmad Indrawanto"/>
    <m/>
    <s v="SERVICE HANDPHONE"/>
    <m/>
    <x v="0"/>
    <m/>
    <s v="YUVI NOFERIANTO"/>
    <m/>
    <x v="4"/>
    <m/>
    <s v="Achmad Indrawanto"/>
    <m/>
    <s v="BATERAI"/>
    <m/>
    <s v="OPPO"/>
    <m/>
    <s v="Oppo a95"/>
    <m/>
    <s v="JASA71"/>
    <m/>
    <s v="JASA REPAIR"/>
    <m/>
    <n v="0"/>
    <m/>
    <n v="1"/>
    <m/>
    <n v="140000"/>
    <m/>
    <n v="140000"/>
    <m/>
    <m/>
    <m/>
    <s v="N/A"/>
  </r>
  <r>
    <m/>
    <x v="20"/>
    <m/>
    <s v="MF-FP.25155"/>
    <m/>
    <s v="MF-ST.22657"/>
    <m/>
    <d v="2026-05-14T00:00:00"/>
    <m/>
    <s v="Umum"/>
    <m/>
    <s v="C.12313"/>
    <m/>
    <s v="MUKLIS"/>
    <m/>
    <s v="Achmad Indrawanto"/>
    <m/>
    <s v="SERVICE HANDPHONE"/>
    <m/>
    <x v="1"/>
    <m/>
    <s v="YUVI NOFERIANTO"/>
    <m/>
    <x v="4"/>
    <m/>
    <s v="Achmad Indrawanto"/>
    <m/>
    <s v="BATERAI"/>
    <m/>
    <s v="OPPO"/>
    <m/>
    <s v="Oppo a95"/>
    <m/>
    <s v="105973"/>
    <m/>
    <s v="BATER OPP A74/A95 BLP851"/>
    <m/>
    <n v="115000"/>
    <m/>
    <n v="1"/>
    <m/>
    <n v="140000"/>
    <m/>
    <n v="140000"/>
    <m/>
    <m/>
    <m/>
    <s v="N/A"/>
  </r>
  <r>
    <m/>
    <x v="20"/>
    <m/>
    <s v="MF-FP.25155"/>
    <m/>
    <s v="MF-ST.22657"/>
    <m/>
    <d v="2026-05-14T00:00:00"/>
    <m/>
    <s v="Umum"/>
    <m/>
    <s v="C.12313"/>
    <m/>
    <s v="MUKLIS"/>
    <m/>
    <s v="Achmad Indrawanto"/>
    <m/>
    <s v="SERVICE HANDPHONE"/>
    <m/>
    <x v="2"/>
    <m/>
    <s v="YUVI NOFERIANTO"/>
    <m/>
    <x v="4"/>
    <m/>
    <s v="Achmad Indrawanto"/>
    <m/>
    <s v="BATERAI"/>
    <m/>
    <s v="OPPO"/>
    <m/>
    <s v="Oppo a95"/>
    <m/>
    <s v="107200"/>
    <m/>
    <s v="LUNA DATA CABLE TYPE-C CB-2EC"/>
    <m/>
    <n v="9500"/>
    <m/>
    <n v="1"/>
    <m/>
    <n v="20000"/>
    <m/>
    <n v="20000"/>
    <m/>
    <m/>
    <m/>
    <s v="N/A"/>
  </r>
  <r>
    <m/>
    <x v="20"/>
    <m/>
    <s v="MF-FP.25162"/>
    <m/>
    <s v="MF-ST.22652"/>
    <m/>
    <d v="2026-05-13T00:00:00"/>
    <m/>
    <s v="Member Reguler"/>
    <m/>
    <s v="C.01703"/>
    <m/>
    <s v="JON FERI"/>
    <m/>
    <s v="WAHYU PRATAMA"/>
    <m/>
    <s v="SERVICE HANDPHONE"/>
    <m/>
    <x v="1"/>
    <m/>
    <s v="MUSTOFA"/>
    <m/>
    <x v="1"/>
    <m/>
    <s v="HANIF"/>
    <m/>
    <s v="REPAIR"/>
    <m/>
    <s v="XIAOMI"/>
    <m/>
    <s v="M3"/>
    <m/>
    <s v="100145"/>
    <m/>
    <s v="LCD.. XIO REDMI 9T/POCO M3 B FST"/>
    <m/>
    <n v="123788.88888899999"/>
    <m/>
    <n v="1"/>
    <m/>
    <n v="195000"/>
    <m/>
    <n v="195000"/>
    <m/>
    <s v="Achmad Indrawanto"/>
    <m/>
    <s v="N/A"/>
  </r>
  <r>
    <m/>
    <x v="20"/>
    <m/>
    <s v="MF-FP.25156"/>
    <m/>
    <s v="MF-ST.22555"/>
    <m/>
    <d v="2026-05-09T00:00:00"/>
    <m/>
    <s v="Umum"/>
    <m/>
    <s v="C.06530"/>
    <m/>
    <s v="DIAN"/>
    <m/>
    <s v="HANIF"/>
    <m/>
    <s v="SERVICE LAPTOP"/>
    <m/>
    <x v="0"/>
    <m/>
    <s v="ABDUL MUNAJAT"/>
    <m/>
    <x v="3"/>
    <m/>
    <s v="HANIF"/>
    <m/>
    <s v="KEYBOARD"/>
    <m/>
    <s v="HP"/>
    <m/>
    <s v="Hp 14S DQ"/>
    <m/>
    <s v="JASA71"/>
    <m/>
    <s v="JASA REPAIR"/>
    <m/>
    <n v="0"/>
    <m/>
    <n v="1"/>
    <m/>
    <n v="370000"/>
    <m/>
    <n v="370000"/>
    <m/>
    <m/>
    <m/>
    <s v="N/A"/>
  </r>
  <r>
    <m/>
    <x v="20"/>
    <m/>
    <s v="MF-FP.25156"/>
    <m/>
    <s v="MF-ST.22555"/>
    <m/>
    <d v="2026-05-09T00:00:00"/>
    <m/>
    <s v="Umum"/>
    <m/>
    <s v="C.06530"/>
    <m/>
    <s v="DIAN"/>
    <m/>
    <s v="HANIF"/>
    <m/>
    <s v="SERVICE LAPTOP"/>
    <m/>
    <x v="1"/>
    <m/>
    <s v="ABDUL MUNAJAT"/>
    <m/>
    <x v="3"/>
    <m/>
    <s v="HANIF"/>
    <m/>
    <s v="KEYBOARD"/>
    <m/>
    <s v="HP"/>
    <m/>
    <s v="Hp 14S DQ"/>
    <m/>
    <s v="106478"/>
    <m/>
    <s v="KYBRD LPT HP 14S 14 CF 14 DK SILVER"/>
    <m/>
    <n v="100500"/>
    <m/>
    <n v="1"/>
    <m/>
    <n v="160000"/>
    <m/>
    <n v="160000"/>
    <m/>
    <m/>
    <m/>
    <s v="N/A"/>
  </r>
  <r>
    <m/>
    <x v="20"/>
    <m/>
    <s v="MF-FP.25156"/>
    <m/>
    <s v="MF-ST.22555"/>
    <m/>
    <d v="2026-05-09T00:00:00"/>
    <m/>
    <s v="Umum"/>
    <m/>
    <s v="C.06530"/>
    <m/>
    <s v="DIAN"/>
    <m/>
    <s v="HANIF"/>
    <m/>
    <s v="SERVICE LAPTOP"/>
    <m/>
    <x v="2"/>
    <m/>
    <s v="ABDUL MUNAJAT"/>
    <m/>
    <x v="3"/>
    <m/>
    <s v="HANIF"/>
    <m/>
    <s v="KEYBOARD"/>
    <m/>
    <s v="HP"/>
    <m/>
    <s v="Hp 14S DQ"/>
    <m/>
    <s v="107200"/>
    <m/>
    <s v="LUNA DATA CABLE TYPE-C CB-2EC"/>
    <m/>
    <n v="9500"/>
    <m/>
    <n v="1"/>
    <m/>
    <n v="20000"/>
    <m/>
    <n v="20000"/>
    <m/>
    <m/>
    <m/>
    <s v="N/A"/>
  </r>
  <r>
    <m/>
    <x v="20"/>
    <m/>
    <s v="MF-FP.25157"/>
    <m/>
    <s v="MF-ST.22665"/>
    <m/>
    <d v="2026-05-14T00:00:00"/>
    <m/>
    <s v="Member Reguler"/>
    <m/>
    <s v="C.13301"/>
    <m/>
    <s v="KURNIA"/>
    <m/>
    <s v="Achmad Indrawanto"/>
    <m/>
    <s v="SERVICE HANDPHONE"/>
    <m/>
    <x v="0"/>
    <m/>
    <s v="YUVI NOFERIANTO"/>
    <m/>
    <x v="4"/>
    <m/>
    <s v="Achmad Indrawanto"/>
    <m/>
    <s v="FLEXIBEL CHARGER (PAPAN KONEKTOR)"/>
    <m/>
    <s v="SAMSUNG"/>
    <m/>
    <s v="Samsung a05"/>
    <m/>
    <s v="JASA71"/>
    <m/>
    <s v="JASA REPAIR"/>
    <m/>
    <n v="0"/>
    <m/>
    <n v="1"/>
    <m/>
    <n v="180000"/>
    <m/>
    <n v="180000"/>
    <m/>
    <s v="Achmad Indrawanto"/>
    <m/>
    <s v="N/A"/>
  </r>
  <r>
    <m/>
    <x v="20"/>
    <m/>
    <s v="MF-FP.25157"/>
    <m/>
    <s v="MF-ST.22665"/>
    <m/>
    <d v="2026-05-14T00:00:00"/>
    <m/>
    <s v="Member Reguler"/>
    <m/>
    <s v="C.13301"/>
    <m/>
    <s v="KURNIA"/>
    <m/>
    <s v="Achmad Indrawanto"/>
    <m/>
    <s v="SERVICE HANDPHONE"/>
    <m/>
    <x v="1"/>
    <m/>
    <s v="YUVI NOFERIANTO"/>
    <m/>
    <x v="4"/>
    <m/>
    <s v="Achmad Indrawanto"/>
    <m/>
    <s v="FLEXIBEL CHARGER (PAPAN KONEKTOR)"/>
    <m/>
    <s v="SAMSUNG"/>
    <m/>
    <s v="Samsung a05"/>
    <m/>
    <s v="105202"/>
    <m/>
    <s v="FLCRG SAM A05S ORI"/>
    <m/>
    <n v="90000"/>
    <m/>
    <n v="1"/>
    <m/>
    <n v="150000"/>
    <m/>
    <n v="150000"/>
    <m/>
    <s v="Achmad Indrawanto"/>
    <m/>
    <s v="N/A"/>
  </r>
  <r>
    <m/>
    <x v="20"/>
    <m/>
    <s v="MF-FP.25157"/>
    <m/>
    <s v="MF-ST.22665"/>
    <m/>
    <d v="2026-05-14T00:00:00"/>
    <m/>
    <s v="Member Reguler"/>
    <m/>
    <s v="C.13301"/>
    <m/>
    <s v="KURNIA"/>
    <m/>
    <s v="Achmad Indrawanto"/>
    <m/>
    <s v="SERVICE HANDPHONE"/>
    <m/>
    <x v="2"/>
    <m/>
    <s v="YUVI NOFERIANTO"/>
    <m/>
    <x v="4"/>
    <m/>
    <s v="Achmad Indrawanto"/>
    <m/>
    <s v="FLEXIBEL CHARGER (PAPAN KONEKTOR)"/>
    <m/>
    <s v="SAMSUNG"/>
    <m/>
    <s v="Samsung a05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0"/>
    <m/>
    <s v="MF-FP.25162"/>
    <m/>
    <s v="MF-ST.22652"/>
    <m/>
    <d v="2026-05-13T00:00:00"/>
    <m/>
    <s v="Member Reguler"/>
    <m/>
    <s v="C.01703"/>
    <m/>
    <s v="JON FERI"/>
    <m/>
    <s v="WAHYU PRATAMA"/>
    <m/>
    <s v="SERVICE HANDPHONE"/>
    <m/>
    <x v="2"/>
    <m/>
    <s v="MUSTOFA"/>
    <m/>
    <x v="1"/>
    <m/>
    <s v="HANIF"/>
    <m/>
    <s v="REPAIR"/>
    <m/>
    <s v="XIAOMI"/>
    <m/>
    <s v="M3"/>
    <m/>
    <s v="100025"/>
    <m/>
    <s v="VIVAN HYDROGEL BASIC CRYSTAL CLEAR VSP01T"/>
    <m/>
    <n v="11151.582562"/>
    <m/>
    <n v="1"/>
    <m/>
    <n v="75000"/>
    <m/>
    <n v="75000"/>
    <m/>
    <s v="Achmad Indrawanto"/>
    <m/>
    <s v="N/A"/>
  </r>
  <r>
    <m/>
    <x v="20"/>
    <m/>
    <s v="MF-FP.25158"/>
    <m/>
    <s v="MF-ST.22666"/>
    <m/>
    <d v="2026-05-14T00:00:00"/>
    <m/>
    <s v="Member Reguler"/>
    <m/>
    <s v="C.13302"/>
    <m/>
    <s v="USPENDRI"/>
    <m/>
    <s v="Achmad Indrawanto"/>
    <m/>
    <s v="SERVICE HANDPHONE"/>
    <m/>
    <x v="1"/>
    <m/>
    <s v="YUVI NOFERIANTO"/>
    <m/>
    <x v="4"/>
    <m/>
    <s v="Achmad Indrawanto"/>
    <m/>
    <s v="LCD"/>
    <m/>
    <s v="VIVO"/>
    <m/>
    <s v="Vivo y16"/>
    <m/>
    <s v="100172"/>
    <m/>
    <s v="LCD.. VIV Y21/Y21s/Y21a/Y16/Y02s B"/>
    <m/>
    <n v="120000"/>
    <m/>
    <n v="1"/>
    <m/>
    <n v="190000"/>
    <m/>
    <n v="190000"/>
    <m/>
    <s v="Achmad Indrawanto"/>
    <m/>
    <s v="N/A"/>
  </r>
  <r>
    <m/>
    <x v="20"/>
    <m/>
    <s v="MF-FP.25158"/>
    <m/>
    <s v="MF-ST.22666"/>
    <m/>
    <d v="2026-05-14T00:00:00"/>
    <m/>
    <s v="Member Reguler"/>
    <m/>
    <s v="C.13302"/>
    <m/>
    <s v="USPENDRI"/>
    <m/>
    <s v="Achmad Indrawanto"/>
    <m/>
    <s v="SERVICE HANDPHONE"/>
    <m/>
    <x v="0"/>
    <m/>
    <s v="YUVI NOFERIANTO"/>
    <m/>
    <x v="4"/>
    <m/>
    <s v="Achmad Indrawanto"/>
    <m/>
    <s v="LCD"/>
    <m/>
    <s v="VIVO"/>
    <m/>
    <s v="Vivo y16"/>
    <m/>
    <s v="JASA71"/>
    <m/>
    <s v="JASA REPAIR"/>
    <m/>
    <n v="0"/>
    <m/>
    <n v="1"/>
    <m/>
    <n v="190000"/>
    <m/>
    <n v="190000"/>
    <m/>
    <s v="Achmad Indrawanto"/>
    <m/>
    <s v="N/A"/>
  </r>
  <r>
    <m/>
    <x v="20"/>
    <m/>
    <s v="MF-FP.25158"/>
    <m/>
    <s v="MF-ST.22666"/>
    <m/>
    <d v="2026-05-14T00:00:00"/>
    <m/>
    <s v="Member Reguler"/>
    <m/>
    <s v="C.13302"/>
    <m/>
    <s v="USPENDRI"/>
    <m/>
    <s v="Achmad Indrawanto"/>
    <m/>
    <s v="SERVICE HANDPHONE"/>
    <m/>
    <x v="2"/>
    <m/>
    <s v="YUVI NOFERIANTO"/>
    <m/>
    <x v="4"/>
    <m/>
    <s v="Achmad Indrawanto"/>
    <m/>
    <s v="LCD"/>
    <m/>
    <s v="VIVO"/>
    <m/>
    <s v="Vivo y16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0"/>
    <m/>
    <s v="MF-FP.25159"/>
    <m/>
    <s v="MF-ST.22537"/>
    <m/>
    <d v="2026-05-09T00:00:00"/>
    <m/>
    <s v="Umum"/>
    <m/>
    <s v="C.09690"/>
    <m/>
    <s v="ADANG SUTISNA"/>
    <m/>
    <s v="WAHYU PRATAMA"/>
    <m/>
    <s v="SERVICE HANDPHONE"/>
    <m/>
    <x v="1"/>
    <m/>
    <s v="EKO RISDIYANTORO JATIMULYA"/>
    <m/>
    <x v="2"/>
    <m/>
    <s v="Achmad Indrawanto"/>
    <m/>
    <s v="FLEXIBEL ON/OFF"/>
    <m/>
    <s v="INFINIX"/>
    <m/>
    <s v="SMART 3"/>
    <m/>
    <s v="107263"/>
    <m/>
    <s v="FLOFV INF SMART 3 PLUS / INF S4 / INF HOT 7 PRO"/>
    <m/>
    <n v="12000"/>
    <m/>
    <n v="1"/>
    <m/>
    <n v="20000"/>
    <m/>
    <n v="20000"/>
    <m/>
    <m/>
    <m/>
    <s v="N/A"/>
  </r>
  <r>
    <m/>
    <x v="20"/>
    <m/>
    <s v="MF-FP.25163"/>
    <m/>
    <s v="MF-ST.22650"/>
    <m/>
    <d v="2026-05-13T00:00:00"/>
    <m/>
    <s v="Member Reguler"/>
    <m/>
    <s v="C.01703"/>
    <m/>
    <s v="JON FERI"/>
    <m/>
    <s v="Achmad Indrawanto"/>
    <m/>
    <s v="SERVICE HANDPHONE"/>
    <m/>
    <x v="0"/>
    <m/>
    <s v="EKO RISDIYANTORO JATIMULYA"/>
    <m/>
    <x v="2"/>
    <m/>
    <s v="WAHYU PRATAMA"/>
    <m/>
    <s v="REPAIR"/>
    <m/>
    <s v="BELUM ADA MERK"/>
    <m/>
    <s v="itel P10002L"/>
    <m/>
    <s v="JASA71"/>
    <m/>
    <s v="JASA REPAIR"/>
    <m/>
    <n v="0"/>
    <m/>
    <n v="1"/>
    <m/>
    <n v="250000"/>
    <m/>
    <n v="250000"/>
    <m/>
    <s v="Achmad Indrawanto"/>
    <m/>
    <s v="N/A"/>
  </r>
  <r>
    <m/>
    <x v="20"/>
    <m/>
    <s v="MF-FP.25163"/>
    <m/>
    <s v="MF-ST.22650"/>
    <m/>
    <d v="2026-05-13T00:00:00"/>
    <m/>
    <s v="Member Reguler"/>
    <m/>
    <s v="C.01703"/>
    <m/>
    <s v="JON FERI"/>
    <m/>
    <s v="Achmad Indrawanto"/>
    <m/>
    <s v="SERVICE HANDPHONE"/>
    <m/>
    <x v="1"/>
    <m/>
    <s v="EKO RISDIYANTORO JATIMULYA"/>
    <m/>
    <x v="2"/>
    <m/>
    <s v="WAHYU PRATAMA"/>
    <m/>
    <s v="REPAIR"/>
    <m/>
    <s v="BELUM ADA MERK"/>
    <m/>
    <s v="itel P10002L"/>
    <m/>
    <s v="100248"/>
    <m/>
    <s v="KNCRG ADVAN"/>
    <m/>
    <n v="7071.6549709999999"/>
    <m/>
    <n v="1"/>
    <m/>
    <n v="15000"/>
    <m/>
    <n v="15000"/>
    <m/>
    <s v="Achmad Indrawanto"/>
    <m/>
    <s v="N/A"/>
  </r>
  <r>
    <m/>
    <x v="20"/>
    <m/>
    <s v="MF-FP.25163"/>
    <m/>
    <s v="MF-ST.22650"/>
    <m/>
    <d v="2026-05-13T00:00:00"/>
    <m/>
    <s v="Member Reguler"/>
    <m/>
    <s v="C.01703"/>
    <m/>
    <s v="JON FERI"/>
    <m/>
    <s v="Achmad Indrawanto"/>
    <m/>
    <s v="SERVICE HANDPHONE"/>
    <m/>
    <x v="2"/>
    <m/>
    <s v="EKO RISDIYANTORO JATIMULYA"/>
    <m/>
    <x v="2"/>
    <m/>
    <s v="WAHYU PRATAMA"/>
    <m/>
    <s v="REPAIR"/>
    <m/>
    <s v="BELUM ADA MERK"/>
    <m/>
    <s v="itel P10002L"/>
    <m/>
    <s v="107200"/>
    <m/>
    <s v="LUNA DATA CABLE TYPE-C CB-2EC"/>
    <m/>
    <n v="9500"/>
    <m/>
    <n v="1"/>
    <m/>
    <n v="10000"/>
    <m/>
    <n v="10000"/>
    <m/>
    <s v="Achmad Indrawanto"/>
    <m/>
    <s v="N/A"/>
  </r>
  <r>
    <m/>
    <x v="20"/>
    <m/>
    <s v="MF-FP.25166"/>
    <m/>
    <s v="MF-ST.21339"/>
    <m/>
    <d v="2026-03-28T00:00:00"/>
    <m/>
    <s v="Member Reguler"/>
    <m/>
    <s v="C.04232"/>
    <m/>
    <s v="ATEP"/>
    <m/>
    <s v="ARI MARWAN"/>
    <m/>
    <s v="SERVICE LAPTOP"/>
    <m/>
    <x v="0"/>
    <m/>
    <s v="ARIFIN SANTOSO JATIMULYA"/>
    <m/>
    <x v="6"/>
    <m/>
    <s v="HANIF"/>
    <m/>
    <s v="BATERAI"/>
    <m/>
    <s v="LENOVO"/>
    <m/>
    <s v="G40"/>
    <m/>
    <s v="JASA71"/>
    <m/>
    <s v="JASA REPAIR"/>
    <m/>
    <n v="0"/>
    <m/>
    <n v="1"/>
    <m/>
    <n v="370000"/>
    <m/>
    <n v="370000"/>
    <m/>
    <s v="Achmad Indrawanto"/>
    <m/>
    <s v="N/A"/>
  </r>
  <r>
    <m/>
    <x v="20"/>
    <m/>
    <s v="MF-FP.25166"/>
    <m/>
    <s v="MF-ST.21339"/>
    <m/>
    <d v="2026-03-28T00:00:00"/>
    <m/>
    <s v="Member Reguler"/>
    <m/>
    <s v="C.04232"/>
    <m/>
    <s v="ATEP"/>
    <m/>
    <s v="ARI MARWAN"/>
    <m/>
    <s v="SERVICE LAPTOP"/>
    <m/>
    <x v="1"/>
    <m/>
    <s v="ARIFIN SANTOSO JATIMULYA"/>
    <m/>
    <x v="6"/>
    <m/>
    <s v="HANIF"/>
    <m/>
    <s v="BATERAI"/>
    <m/>
    <s v="LENOVO"/>
    <m/>
    <s v="G40"/>
    <m/>
    <s v="101778"/>
    <m/>
    <s v="BATER LPT LNV  G40-45 G40-70 G40-80 G40-30 G40 G400S G405S G410S G40-45 G41-35"/>
    <m/>
    <n v="280000"/>
    <m/>
    <n v="1"/>
    <m/>
    <n v="360000"/>
    <m/>
    <n v="360000"/>
    <m/>
    <s v="Achmad Indrawanto"/>
    <m/>
    <s v="N/A"/>
  </r>
  <r>
    <m/>
    <x v="20"/>
    <m/>
    <s v="MF-FP.25166"/>
    <m/>
    <s v="MF-ST.21339"/>
    <m/>
    <d v="2026-03-28T00:00:00"/>
    <m/>
    <s v="Member Reguler"/>
    <m/>
    <s v="C.04232"/>
    <m/>
    <s v="ATEP"/>
    <m/>
    <s v="ARI MARWAN"/>
    <m/>
    <s v="SERVICE LAPTOP"/>
    <m/>
    <x v="2"/>
    <m/>
    <s v="ARIFIN SANTOSO JATIMULYA"/>
    <m/>
    <x v="6"/>
    <m/>
    <s v="HANIF"/>
    <m/>
    <s v="BATERAI"/>
    <m/>
    <s v="LENOVO"/>
    <m/>
    <s v="G40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0"/>
    <m/>
    <s v="MF-FP.25159"/>
    <m/>
    <s v="MF-ST.22537"/>
    <m/>
    <d v="2026-05-09T00:00:00"/>
    <m/>
    <s v="Umum"/>
    <m/>
    <s v="C.09690"/>
    <m/>
    <s v="ADANG SUTISNA"/>
    <m/>
    <s v="WAHYU PRATAMA"/>
    <m/>
    <s v="SERVICE HANDPHONE"/>
    <m/>
    <x v="0"/>
    <m/>
    <s v="EKO RISDIYANTORO JATIMULYA"/>
    <m/>
    <x v="2"/>
    <m/>
    <s v="Achmad Indrawanto"/>
    <m/>
    <s v="FLEXIBEL ON/OFF"/>
    <m/>
    <s v="INFINIX"/>
    <m/>
    <s v="SMART 3"/>
    <m/>
    <s v="JASA71"/>
    <m/>
    <s v="JASA REPAIR"/>
    <m/>
    <n v="0"/>
    <m/>
    <n v="1"/>
    <m/>
    <n v="160000"/>
    <m/>
    <n v="160000"/>
    <m/>
    <m/>
    <m/>
    <s v="N/A"/>
  </r>
  <r>
    <m/>
    <x v="20"/>
    <m/>
    <s v="MF-FP.25164"/>
    <m/>
    <s v="MF-ST.22654"/>
    <m/>
    <d v="2026-05-14T00:00:00"/>
    <m/>
    <s v="Member Reguler"/>
    <m/>
    <s v="C.13294"/>
    <m/>
    <s v="ARACHMAN"/>
    <m/>
    <s v="Achmad Indrawanto"/>
    <m/>
    <s v="SERVICE HANDPHONE"/>
    <m/>
    <x v="0"/>
    <m/>
    <s v="YUVI NOFERIANTO"/>
    <m/>
    <x v="4"/>
    <m/>
    <s v="WAHYU PRATAMA"/>
    <m/>
    <s v="BATERAI"/>
    <m/>
    <s v="SAMSUNG"/>
    <m/>
    <s v="Samsung a14 5g"/>
    <m/>
    <s v="JASA71"/>
    <m/>
    <s v="JASA REPAIR"/>
    <m/>
    <n v="0"/>
    <m/>
    <n v="1"/>
    <m/>
    <n v="150000"/>
    <m/>
    <n v="150000"/>
    <m/>
    <s v="Achmad Indrawanto"/>
    <m/>
    <s v="N/A"/>
  </r>
  <r>
    <m/>
    <x v="20"/>
    <m/>
    <s v="MF-FP.25164"/>
    <m/>
    <s v="MF-ST.22654"/>
    <m/>
    <d v="2026-05-14T00:00:00"/>
    <m/>
    <s v="Member Reguler"/>
    <m/>
    <s v="C.13294"/>
    <m/>
    <s v="ARACHMAN"/>
    <m/>
    <s v="Achmad Indrawanto"/>
    <m/>
    <s v="SERVICE HANDPHONE"/>
    <m/>
    <x v="1"/>
    <m/>
    <s v="YUVI NOFERIANTO"/>
    <m/>
    <x v="4"/>
    <m/>
    <s v="WAHYU PRATAMA"/>
    <m/>
    <s v="BATERAI"/>
    <m/>
    <s v="SAMSUNG"/>
    <m/>
    <s v="Samsung a14 5g"/>
    <m/>
    <s v="106306"/>
    <m/>
    <s v="BATER SAM A14 5G/A04/A04E/A22 5G"/>
    <m/>
    <n v="127886.981402"/>
    <m/>
    <n v="1"/>
    <m/>
    <n v="140000"/>
    <m/>
    <n v="140000"/>
    <m/>
    <s v="Achmad Indrawanto"/>
    <m/>
    <s v="N/A"/>
  </r>
  <r>
    <m/>
    <x v="20"/>
    <m/>
    <s v="MF-FP.25164"/>
    <m/>
    <s v="MF-ST.22654"/>
    <m/>
    <d v="2026-05-14T00:00:00"/>
    <m/>
    <s v="Member Reguler"/>
    <m/>
    <s v="C.13294"/>
    <m/>
    <s v="ARACHMAN"/>
    <m/>
    <s v="Achmad Indrawanto"/>
    <m/>
    <s v="SERVICE HANDPHONE"/>
    <m/>
    <x v="2"/>
    <m/>
    <s v="YUVI NOFERIANTO"/>
    <m/>
    <x v="4"/>
    <m/>
    <s v="WAHYU PRATAMA"/>
    <m/>
    <s v="BATERAI"/>
    <m/>
    <s v="SAMSUNG"/>
    <m/>
    <s v="Samsung a14 5g"/>
    <m/>
    <s v="107200"/>
    <m/>
    <s v="LUNA DATA CABLE TYPE-C CB-2EC"/>
    <m/>
    <n v="9500"/>
    <m/>
    <n v="1"/>
    <m/>
    <n v="10000"/>
    <m/>
    <n v="10000"/>
    <m/>
    <s v="Achmad Indrawanto"/>
    <m/>
    <s v="N/A"/>
  </r>
  <r>
    <m/>
    <x v="20"/>
    <m/>
    <s v="MF-FP.25165"/>
    <m/>
    <s v="MF-ST.22670"/>
    <m/>
    <d v="2026-05-14T00:00:00"/>
    <m/>
    <s v="Member Reguler"/>
    <m/>
    <s v="MJ0387"/>
    <m/>
    <s v="Vindi"/>
    <m/>
    <s v="WAHYU PRATAMA"/>
    <m/>
    <s v="SERVICE HANDPHONE"/>
    <m/>
    <x v="0"/>
    <m/>
    <s v="EKO RISDIYANTORO JATIMULYA"/>
    <m/>
    <x v="2"/>
    <m/>
    <s v="WAHYU PRATAMA"/>
    <m/>
    <s v="REPAIR"/>
    <m/>
    <s v="XIAOMI"/>
    <m/>
    <s v="1C"/>
    <m/>
    <s v="JASA71"/>
    <m/>
    <s v="JASA REPAIR"/>
    <m/>
    <n v="0"/>
    <m/>
    <n v="1"/>
    <m/>
    <n v="165000"/>
    <m/>
    <n v="165000"/>
    <m/>
    <s v="Diky"/>
    <m/>
    <s v="N/A"/>
  </r>
  <r>
    <m/>
    <x v="20"/>
    <m/>
    <s v="MF-FP.25165"/>
    <m/>
    <s v="MF-ST.22670"/>
    <m/>
    <d v="2026-05-14T00:00:00"/>
    <m/>
    <s v="Member Reguler"/>
    <m/>
    <s v="MJ0387"/>
    <m/>
    <s v="Vindi"/>
    <m/>
    <s v="WAHYU PRATAMA"/>
    <m/>
    <s v="SERVICE HANDPHONE"/>
    <m/>
    <x v="2"/>
    <m/>
    <s v="EKO RISDIYANTORO JATIMULYA"/>
    <m/>
    <x v="2"/>
    <m/>
    <s v="WAHYU PRATAMA"/>
    <m/>
    <s v="REPAIR"/>
    <m/>
    <s v="XIAOMI"/>
    <m/>
    <s v="1C"/>
    <m/>
    <s v="107200"/>
    <m/>
    <s v="LUNA DATA CABLE TYPE-C CB-2EC"/>
    <m/>
    <n v="9500"/>
    <m/>
    <n v="1"/>
    <m/>
    <n v="10000"/>
    <m/>
    <n v="10000"/>
    <m/>
    <s v="Diky"/>
    <m/>
    <s v="N/A"/>
  </r>
  <r>
    <m/>
    <x v="20"/>
    <m/>
    <s v="MF-FP.25169"/>
    <m/>
    <s v="MF-ST.22675"/>
    <m/>
    <d v="2026-05-14T00:00:00"/>
    <m/>
    <s v="Umum"/>
    <m/>
    <s v="C.08263"/>
    <m/>
    <s v="BU DIAN PRAMESTI"/>
    <m/>
    <s v="WAHYU PRATAMA"/>
    <m/>
    <s v="SERVICE HANDPHONE"/>
    <m/>
    <x v="0"/>
    <m/>
    <s v="EKO RISDIYANTORO JATIMULYA"/>
    <m/>
    <x v="2"/>
    <m/>
    <s v="WAHYU PRATAMA"/>
    <m/>
    <s v="LCD"/>
    <m/>
    <s v="SAMSUNG"/>
    <m/>
    <s v="A32"/>
    <m/>
    <s v="JASA71"/>
    <m/>
    <s v="JASA REPAIR"/>
    <m/>
    <n v="0"/>
    <m/>
    <n v="1"/>
    <m/>
    <n v="330000"/>
    <m/>
    <n v="330000"/>
    <m/>
    <m/>
    <m/>
    <s v="N/A"/>
  </r>
  <r>
    <m/>
    <x v="20"/>
    <m/>
    <s v="MF-FP.25167"/>
    <m/>
    <s v="MF-ST.22671"/>
    <m/>
    <d v="2026-05-14T00:00:00"/>
    <m/>
    <s v="Umum"/>
    <m/>
    <s v="C.13305"/>
    <m/>
    <s v="AGUS SETIAWAN"/>
    <m/>
    <s v="HANIF"/>
    <m/>
    <s v="SERVICE HANDPHONE"/>
    <m/>
    <x v="0"/>
    <m/>
    <s v="MUSTOFA"/>
    <m/>
    <x v="1"/>
    <m/>
    <s v="HANIF"/>
    <m/>
    <s v="HARDWARE"/>
    <m/>
    <s v="SAMSUNG"/>
    <m/>
    <s v="Samsung A8 plus"/>
    <m/>
    <s v="JASA71"/>
    <m/>
    <s v="JASA REPAIR"/>
    <m/>
    <n v="0"/>
    <m/>
    <n v="1"/>
    <m/>
    <n v="110000"/>
    <m/>
    <n v="110000"/>
    <m/>
    <m/>
    <m/>
    <s v="N/A"/>
  </r>
  <r>
    <m/>
    <x v="20"/>
    <m/>
    <s v="MF-FP.25167"/>
    <m/>
    <s v="MF-ST.22671"/>
    <m/>
    <d v="2026-05-14T00:00:00"/>
    <m/>
    <s v="Umum"/>
    <m/>
    <s v="C.13305"/>
    <m/>
    <s v="AGUS SETIAWAN"/>
    <m/>
    <s v="HANIF"/>
    <m/>
    <s v="SERVICE HANDPHONE"/>
    <m/>
    <x v="1"/>
    <m/>
    <s v="MUSTOFA"/>
    <m/>
    <x v="1"/>
    <m/>
    <s v="HANIF"/>
    <m/>
    <s v="HARDWARE"/>
    <m/>
    <s v="SAMSUNG"/>
    <m/>
    <s v="Samsung A8 plus"/>
    <m/>
    <s v="101416"/>
    <m/>
    <s v="PERNIK SAM A8 2018/A8 PLUS"/>
    <m/>
    <n v="14865.084656000001"/>
    <m/>
    <n v="1"/>
    <m/>
    <n v="50000"/>
    <m/>
    <n v="50000"/>
    <m/>
    <m/>
    <m/>
    <s v="N/A"/>
  </r>
  <r>
    <m/>
    <x v="20"/>
    <m/>
    <s v="MF-FP.25167"/>
    <m/>
    <s v="MF-ST.22671"/>
    <m/>
    <d v="2026-05-14T00:00:00"/>
    <m/>
    <s v="Umum"/>
    <m/>
    <s v="C.13305"/>
    <m/>
    <s v="AGUS SETIAWAN"/>
    <m/>
    <s v="HANIF"/>
    <m/>
    <s v="SERVICE HANDPHONE"/>
    <m/>
    <x v="2"/>
    <m/>
    <s v="MUSTOFA"/>
    <m/>
    <x v="1"/>
    <m/>
    <s v="HANIF"/>
    <m/>
    <s v="HARDWARE"/>
    <m/>
    <s v="SAMSUNG"/>
    <m/>
    <s v="Samsung A8 plus"/>
    <m/>
    <s v="107200"/>
    <m/>
    <s v="LUNA DATA CABLE TYPE-C CB-2EC"/>
    <m/>
    <n v="9500"/>
    <m/>
    <n v="1"/>
    <m/>
    <n v="20000"/>
    <m/>
    <n v="20000"/>
    <m/>
    <m/>
    <m/>
    <s v="N/A"/>
  </r>
  <r>
    <m/>
    <x v="20"/>
    <m/>
    <s v="MF-FP.25169"/>
    <m/>
    <s v="MF-ST.22675"/>
    <m/>
    <d v="2026-05-14T00:00:00"/>
    <m/>
    <s v="Umum"/>
    <m/>
    <s v="C.08263"/>
    <m/>
    <s v="BU DIAN PRAMESTI"/>
    <m/>
    <s v="WAHYU PRATAMA"/>
    <m/>
    <s v="SERVICE HANDPHONE"/>
    <m/>
    <x v="1"/>
    <m/>
    <s v="EKO RISDIYANTORO JATIMULYA"/>
    <m/>
    <x v="2"/>
    <m/>
    <s v="WAHYU PRATAMA"/>
    <m/>
    <s v="LCD"/>
    <m/>
    <s v="SAMSUNG"/>
    <m/>
    <s v="A32"/>
    <m/>
    <s v="103529"/>
    <m/>
    <s v="LCD.. SAM A32 4G OLED + FRAME B"/>
    <m/>
    <n v="383125"/>
    <m/>
    <n v="1"/>
    <m/>
    <n v="485000"/>
    <m/>
    <n v="485000"/>
    <m/>
    <m/>
    <m/>
    <s v="N/A"/>
  </r>
  <r>
    <m/>
    <x v="20"/>
    <m/>
    <s v="MF-FP.25169"/>
    <m/>
    <s v="MF-ST.22675"/>
    <m/>
    <d v="2026-05-14T00:00:00"/>
    <m/>
    <s v="Umum"/>
    <m/>
    <s v="C.08263"/>
    <m/>
    <s v="BU DIAN PRAMESTI"/>
    <m/>
    <s v="WAHYU PRATAMA"/>
    <m/>
    <s v="SERVICE HANDPHONE"/>
    <m/>
    <x v="2"/>
    <m/>
    <s v="EKO RISDIYANTORO JATIMULYA"/>
    <m/>
    <x v="2"/>
    <m/>
    <s v="WAHYU PRATAMA"/>
    <m/>
    <s v="LCD"/>
    <m/>
    <s v="SAMSUNG"/>
    <m/>
    <s v="A32"/>
    <m/>
    <s v="107200"/>
    <m/>
    <s v="LUNA DATA CABLE TYPE-C CB-2EC"/>
    <m/>
    <n v="9500"/>
    <m/>
    <n v="1"/>
    <m/>
    <n v="10000"/>
    <m/>
    <n v="10000"/>
    <m/>
    <m/>
    <m/>
    <s v="N/A"/>
  </r>
  <r>
    <m/>
    <x v="20"/>
    <m/>
    <s v="MF-FP.25169"/>
    <m/>
    <s v="MF-ST.22675"/>
    <m/>
    <d v="2026-05-14T00:00:00"/>
    <m/>
    <s v="Umum"/>
    <m/>
    <s v="C.08263"/>
    <m/>
    <s v="BU DIAN PRAMESTI"/>
    <m/>
    <s v="WAHYU PRATAMA"/>
    <m/>
    <s v="SERVICE HANDPHONE"/>
    <m/>
    <x v="2"/>
    <m/>
    <s v="EKO RISDIYANTORO JATIMULYA"/>
    <m/>
    <x v="2"/>
    <m/>
    <s v="WAHYU PRATAMA"/>
    <m/>
    <s v="LCD"/>
    <m/>
    <s v="SAMSUNG"/>
    <m/>
    <s v="A32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20"/>
    <m/>
    <s v="MF-FP.25170"/>
    <m/>
    <s v="MF-ST.22676"/>
    <m/>
    <d v="2026-05-14T00:00:00"/>
    <m/>
    <s v="Umum"/>
    <m/>
    <s v="C.13308"/>
    <m/>
    <s v="YUSUF"/>
    <m/>
    <s v="WAHYU PRATAMA"/>
    <m/>
    <s v="SERVICE HANDPHONE"/>
    <m/>
    <x v="0"/>
    <m/>
    <s v="EKO RISDIYANTORO JATIMULYA"/>
    <m/>
    <x v="2"/>
    <m/>
    <s v="WAHYU PRATAMA"/>
    <m/>
    <s v="BATERAI"/>
    <m/>
    <s v="APPLE"/>
    <m/>
    <s v="IPH 11"/>
    <m/>
    <s v="JASA71"/>
    <m/>
    <s v="JASA REPAIR"/>
    <m/>
    <n v="0"/>
    <m/>
    <n v="1"/>
    <m/>
    <n v="250000"/>
    <m/>
    <n v="250000"/>
    <m/>
    <m/>
    <m/>
    <s v="N/A"/>
  </r>
  <r>
    <m/>
    <x v="20"/>
    <m/>
    <s v="MF-FP.25170"/>
    <m/>
    <s v="MF-ST.22676"/>
    <m/>
    <d v="2026-05-14T00:00:00"/>
    <m/>
    <s v="Umum"/>
    <m/>
    <s v="C.13308"/>
    <m/>
    <s v="YUSUF"/>
    <m/>
    <s v="WAHYU PRATAMA"/>
    <m/>
    <s v="SERVICE HANDPHONE"/>
    <m/>
    <x v="1"/>
    <m/>
    <s v="EKO RISDIYANTORO JATIMULYA"/>
    <m/>
    <x v="2"/>
    <m/>
    <s v="WAHYU PRATAMA"/>
    <m/>
    <s v="BATERAI"/>
    <m/>
    <s v="APPLE"/>
    <m/>
    <s v="IPH 11"/>
    <m/>
    <s v="100224"/>
    <m/>
    <s v="BATER IPH 11"/>
    <m/>
    <n v="158084.47944600001"/>
    <m/>
    <n v="1"/>
    <m/>
    <n v="240000"/>
    <m/>
    <n v="240000"/>
    <m/>
    <m/>
    <m/>
    <s v="N/A"/>
  </r>
  <r>
    <m/>
    <x v="20"/>
    <m/>
    <s v="MF-FP.25170"/>
    <m/>
    <s v="MF-ST.22676"/>
    <m/>
    <d v="2026-05-14T00:00:00"/>
    <m/>
    <s v="Umum"/>
    <m/>
    <s v="C.13308"/>
    <m/>
    <s v="YUSUF"/>
    <m/>
    <s v="WAHYU PRATAMA"/>
    <m/>
    <s v="SERVICE HANDPHONE"/>
    <m/>
    <x v="2"/>
    <m/>
    <s v="EKO RISDIYANTORO JATIMULYA"/>
    <m/>
    <x v="2"/>
    <m/>
    <s v="WAHYU PRATAMA"/>
    <m/>
    <s v="BATERAI"/>
    <m/>
    <s v="APPLE"/>
    <m/>
    <s v="IPH 11"/>
    <m/>
    <s v="107200"/>
    <m/>
    <s v="LUNA DATA CABLE TYPE-C CB-2EC"/>
    <m/>
    <n v="9500"/>
    <m/>
    <n v="1"/>
    <m/>
    <n v="10000"/>
    <m/>
    <n v="10000"/>
    <m/>
    <m/>
    <m/>
    <s v="N/A"/>
  </r>
  <r>
    <m/>
    <x v="20"/>
    <m/>
    <s v="MF-FP.25172"/>
    <m/>
    <s v="MF-ST.22677"/>
    <m/>
    <d v="2026-05-14T00:00:00"/>
    <m/>
    <s v="Umum"/>
    <m/>
    <s v="C.13309"/>
    <m/>
    <s v="BAGAS"/>
    <m/>
    <s v="HANIF"/>
    <m/>
    <s v="SERVICE HANDPHONE"/>
    <m/>
    <x v="0"/>
    <m/>
    <s v="MUSTOFA"/>
    <m/>
    <x v="1"/>
    <m/>
    <s v="HANIF"/>
    <m/>
    <s v="LCD"/>
    <m/>
    <s v="XIAOMI"/>
    <m/>
    <s v="REDMI C15"/>
    <m/>
    <s v="JASA71"/>
    <m/>
    <s v="JASA REPAIR"/>
    <m/>
    <n v="0"/>
    <m/>
    <n v="1"/>
    <m/>
    <n v="200000"/>
    <m/>
    <n v="200000"/>
    <m/>
    <m/>
    <m/>
    <s v="N/A"/>
  </r>
  <r>
    <m/>
    <x v="20"/>
    <m/>
    <s v="MF-FP.25172"/>
    <m/>
    <s v="MF-ST.22677"/>
    <m/>
    <d v="2026-05-14T00:00:00"/>
    <m/>
    <s v="Umum"/>
    <m/>
    <s v="C.13309"/>
    <m/>
    <s v="BAGAS"/>
    <m/>
    <s v="HANIF"/>
    <m/>
    <s v="SERVICE HANDPHONE"/>
    <m/>
    <x v="1"/>
    <m/>
    <s v="MUSTOFA"/>
    <m/>
    <x v="1"/>
    <m/>
    <s v="HANIF"/>
    <m/>
    <s v="LCD"/>
    <m/>
    <s v="XIAOMI"/>
    <m/>
    <s v="REDMI C15"/>
    <m/>
    <s v="100107"/>
    <m/>
    <s v="LCD.. RLM C11/C12/C15 NARZO 20 OPP A15/A15s B FST"/>
    <m/>
    <n v="121157.158686"/>
    <m/>
    <n v="1"/>
    <m/>
    <n v="180000"/>
    <m/>
    <n v="180000"/>
    <m/>
    <m/>
    <m/>
    <s v="N/A"/>
  </r>
  <r>
    <m/>
    <x v="20"/>
    <m/>
    <s v="MF-FP.25172"/>
    <m/>
    <s v="MF-ST.22677"/>
    <m/>
    <d v="2026-05-14T00:00:00"/>
    <m/>
    <s v="Umum"/>
    <m/>
    <s v="C.13309"/>
    <m/>
    <s v="BAGAS"/>
    <m/>
    <s v="HANIF"/>
    <m/>
    <s v="SERVICE HANDPHONE"/>
    <m/>
    <x v="2"/>
    <m/>
    <s v="MUSTOFA"/>
    <m/>
    <x v="1"/>
    <m/>
    <s v="HANIF"/>
    <m/>
    <s v="LCD"/>
    <m/>
    <s v="XIAOMI"/>
    <m/>
    <s v="REDMI C15"/>
    <m/>
    <s v="107200"/>
    <m/>
    <s v="LUNA DATA CABLE TYPE-C CB-2EC"/>
    <m/>
    <n v="9500"/>
    <m/>
    <n v="1"/>
    <m/>
    <n v="20000"/>
    <m/>
    <n v="20000"/>
    <m/>
    <m/>
    <m/>
    <s v="N/A"/>
  </r>
  <r>
    <m/>
    <x v="20"/>
    <m/>
    <s v="MF-FP.25173"/>
    <m/>
    <s v="MF-ST.22579"/>
    <m/>
    <d v="2026-05-10T00:00:00"/>
    <m/>
    <s v="Umum"/>
    <m/>
    <s v="C.13251"/>
    <m/>
    <s v="MUSTAQIM"/>
    <m/>
    <s v="WAHYU PRATAMA"/>
    <m/>
    <s v="SERVICE HANDPHONE"/>
    <m/>
    <x v="0"/>
    <m/>
    <s v="MUSTOFA"/>
    <m/>
    <x v="1"/>
    <m/>
    <s v="WAHYU PRATAMA"/>
    <m/>
    <s v="LCD"/>
    <m/>
    <s v="VIVO"/>
    <m/>
    <s v="Y03"/>
    <m/>
    <s v="JASA71"/>
    <m/>
    <s v="JASA REPAIR"/>
    <m/>
    <n v="0"/>
    <m/>
    <n v="1"/>
    <m/>
    <n v="400000"/>
    <m/>
    <n v="400000"/>
    <m/>
    <m/>
    <m/>
    <s v="N/A"/>
  </r>
  <r>
    <m/>
    <x v="20"/>
    <m/>
    <s v="MF-FP.25173"/>
    <m/>
    <s v="MF-ST.22579"/>
    <m/>
    <d v="2026-05-10T00:00:00"/>
    <m/>
    <s v="Umum"/>
    <m/>
    <s v="C.13251"/>
    <m/>
    <s v="MUSTAQIM"/>
    <m/>
    <s v="WAHYU PRATAMA"/>
    <m/>
    <s v="SERVICE HANDPHONE"/>
    <m/>
    <x v="1"/>
    <m/>
    <s v="MUSTOFA"/>
    <m/>
    <x v="1"/>
    <m/>
    <s v="WAHYU PRATAMA"/>
    <m/>
    <s v="LCD"/>
    <m/>
    <s v="VIVO"/>
    <m/>
    <s v="Y03"/>
    <m/>
    <s v="106924"/>
    <m/>
    <s v="LCD.. VIV Y03/Y03T/Y18/Y28S/Z9 LITE B"/>
    <m/>
    <n v="120000"/>
    <m/>
    <n v="1"/>
    <m/>
    <n v="240000"/>
    <m/>
    <n v="240000"/>
    <m/>
    <m/>
    <m/>
    <s v="N/A"/>
  </r>
  <r>
    <m/>
    <x v="20"/>
    <m/>
    <s v="MF-FP.25173"/>
    <m/>
    <s v="MF-ST.22579"/>
    <m/>
    <d v="2026-05-10T00:00:00"/>
    <m/>
    <s v="Umum"/>
    <m/>
    <s v="C.13251"/>
    <m/>
    <s v="MUSTAQIM"/>
    <m/>
    <s v="WAHYU PRATAMA"/>
    <m/>
    <s v="SERVICE HANDPHONE"/>
    <m/>
    <x v="2"/>
    <m/>
    <s v="MUSTOFA"/>
    <m/>
    <x v="1"/>
    <m/>
    <s v="WAHYU PRATAMA"/>
    <m/>
    <s v="LCD"/>
    <m/>
    <s v="VIVO"/>
    <m/>
    <s v="Y03"/>
    <m/>
    <s v="107200"/>
    <m/>
    <s v="LUNA DATA CABLE TYPE-C CB-2EC"/>
    <m/>
    <n v="9500"/>
    <m/>
    <n v="1"/>
    <m/>
    <n v="10000"/>
    <m/>
    <n v="10000"/>
    <m/>
    <m/>
    <m/>
    <s v="N/A"/>
  </r>
  <r>
    <m/>
    <x v="20"/>
    <m/>
    <s v="MF-FP.25175"/>
    <m/>
    <s v="MF-ST.22667"/>
    <m/>
    <d v="2026-05-14T00:00:00"/>
    <m/>
    <s v="Umum"/>
    <m/>
    <s v="C.13303"/>
    <m/>
    <s v="HADI"/>
    <m/>
    <s v="WAHYU PRATAMA"/>
    <m/>
    <s v="SERVICE LAPTOP"/>
    <m/>
    <x v="0"/>
    <m/>
    <s v="ARIFIN SANTOSO JATIMULYA"/>
    <m/>
    <x v="6"/>
    <m/>
    <s v="WAHYU PRATAMA"/>
    <m/>
    <s v="SOFTWARE"/>
    <m/>
    <s v="HP"/>
    <m/>
    <s v="HP 14s DK"/>
    <m/>
    <s v="JASA71"/>
    <m/>
    <s v="JASA REPAIR"/>
    <m/>
    <n v="0"/>
    <m/>
    <n v="1"/>
    <m/>
    <n v="240000"/>
    <m/>
    <n v="240000"/>
    <m/>
    <m/>
    <m/>
    <s v="N/A"/>
  </r>
  <r>
    <m/>
    <x v="20"/>
    <m/>
    <s v="MF-FP.25175"/>
    <m/>
    <s v="MF-ST.22667"/>
    <m/>
    <d v="2026-05-14T00:00:00"/>
    <m/>
    <s v="Umum"/>
    <m/>
    <s v="C.13303"/>
    <m/>
    <s v="HADI"/>
    <m/>
    <s v="WAHYU PRATAMA"/>
    <m/>
    <s v="SERVICE LAPTOP"/>
    <m/>
    <x v="2"/>
    <m/>
    <s v="ARIFIN SANTOSO JATIMULYA"/>
    <m/>
    <x v="6"/>
    <m/>
    <s v="WAHYU PRATAMA"/>
    <m/>
    <s v="SOFTWARE"/>
    <m/>
    <s v="HP"/>
    <m/>
    <s v="HP 14s DK"/>
    <m/>
    <s v="107200"/>
    <m/>
    <s v="LUNA DATA CABLE TYPE-C CB-2EC"/>
    <m/>
    <n v="9500"/>
    <m/>
    <n v="1"/>
    <m/>
    <n v="10000"/>
    <m/>
    <n v="10000"/>
    <m/>
    <m/>
    <m/>
    <s v="N/A"/>
  </r>
  <r>
    <m/>
    <x v="20"/>
    <m/>
    <s v="MF-FP.25171"/>
    <m/>
    <s v="MF-ST.22643"/>
    <m/>
    <d v="2026-05-13T00:00:00"/>
    <m/>
    <s v="Umum"/>
    <m/>
    <s v="C.13287"/>
    <m/>
    <s v="ANWAR"/>
    <m/>
    <s v="WAHYU PRATAMA"/>
    <m/>
    <s v="SERVICE HANDPHONE"/>
    <m/>
    <x v="0"/>
    <m/>
    <s v="MUSTOFA"/>
    <m/>
    <x v="1"/>
    <m/>
    <s v="HANIF"/>
    <m/>
    <s v="REPAIR"/>
    <m/>
    <s v="SAMSUNG"/>
    <m/>
    <s v="NOTE 10"/>
    <m/>
    <s v="JASA71"/>
    <m/>
    <s v="JASA REPAIR"/>
    <m/>
    <n v="0"/>
    <m/>
    <n v="1"/>
    <m/>
    <n v="240000"/>
    <m/>
    <n v="240000"/>
    <m/>
    <m/>
    <m/>
    <s v="N/A"/>
  </r>
  <r>
    <m/>
    <x v="20"/>
    <m/>
    <s v="MF-FP.25171"/>
    <m/>
    <s v="MF-ST.22643"/>
    <m/>
    <d v="2026-05-13T00:00:00"/>
    <m/>
    <s v="Umum"/>
    <m/>
    <s v="C.13287"/>
    <m/>
    <s v="ANWAR"/>
    <m/>
    <s v="WAHYU PRATAMA"/>
    <m/>
    <s v="SERVICE HANDPHONE"/>
    <m/>
    <x v="1"/>
    <m/>
    <s v="MUSTOFA"/>
    <m/>
    <x v="1"/>
    <m/>
    <s v="HANIF"/>
    <m/>
    <s v="REPAIR"/>
    <m/>
    <s v="SAMSUNG"/>
    <m/>
    <s v="NOTE 10"/>
    <m/>
    <s v="106211"/>
    <m/>
    <s v="FLEX. ANTENA SAM NOTE 10"/>
    <m/>
    <n v="21000"/>
    <m/>
    <n v="1"/>
    <m/>
    <n v="40000"/>
    <m/>
    <n v="40000"/>
    <m/>
    <m/>
    <m/>
    <s v="N/A"/>
  </r>
  <r>
    <m/>
    <x v="20"/>
    <m/>
    <s v="MF-FP.25171"/>
    <m/>
    <s v="MF-ST.22643"/>
    <m/>
    <d v="2026-05-13T00:00:00"/>
    <m/>
    <s v="Umum"/>
    <m/>
    <s v="C.13287"/>
    <m/>
    <s v="ANWAR"/>
    <m/>
    <s v="WAHYU PRATAMA"/>
    <m/>
    <s v="SERVICE HANDPHONE"/>
    <m/>
    <x v="2"/>
    <m/>
    <s v="MUSTOFA"/>
    <m/>
    <x v="1"/>
    <m/>
    <s v="HANIF"/>
    <m/>
    <s v="REPAIR"/>
    <m/>
    <s v="SAMSUNG"/>
    <m/>
    <s v="NOTE 10"/>
    <m/>
    <s v="107200"/>
    <m/>
    <s v="LUNA DATA CABLE TYPE-C CB-2EC"/>
    <m/>
    <n v="9500"/>
    <m/>
    <n v="1"/>
    <m/>
    <n v="20000"/>
    <m/>
    <n v="20000"/>
    <m/>
    <m/>
    <m/>
    <s v="N/A"/>
  </r>
  <r>
    <m/>
    <x v="20"/>
    <m/>
    <s v="MF-FP.25176"/>
    <m/>
    <s v="MF-ST.22682"/>
    <m/>
    <d v="2026-05-14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7210"/>
    <m/>
    <s v="ROBOT MOUSE M270 BLACK"/>
    <m/>
    <n v="43000"/>
    <m/>
    <n v="1"/>
    <m/>
    <n v="80000"/>
    <m/>
    <n v="80000"/>
    <m/>
    <m/>
    <m/>
    <s v="N/A"/>
  </r>
  <r>
    <m/>
    <x v="20"/>
    <m/>
    <s v="MF-FP.25177"/>
    <m/>
    <s v="MF-ST.22683"/>
    <m/>
    <d v="2026-05-14T00:00:00"/>
    <m/>
    <s v="Umum"/>
    <m/>
    <s v="C.13311"/>
    <m/>
    <s v="RANI"/>
    <m/>
    <s v="WAHYU PRATAMA"/>
    <m/>
    <s v="SERVICE HANDPHONE"/>
    <m/>
    <x v="0"/>
    <m/>
    <s v="EKO RISDIYANTORO JATIMULYA"/>
    <m/>
    <x v="2"/>
    <m/>
    <s v="WAHYU PRATAMA"/>
    <m/>
    <s v="LCD"/>
    <m/>
    <s v="APPLE"/>
    <m/>
    <s v="IPH 14"/>
    <m/>
    <s v="JASA71"/>
    <m/>
    <s v="JASA REPAIR"/>
    <m/>
    <n v="0"/>
    <m/>
    <n v="1"/>
    <m/>
    <n v="500000"/>
    <m/>
    <n v="500000"/>
    <m/>
    <m/>
    <m/>
    <s v="N/A"/>
  </r>
  <r>
    <m/>
    <x v="20"/>
    <m/>
    <s v="MF-FP.25177"/>
    <m/>
    <s v="MF-ST.22683"/>
    <m/>
    <d v="2026-05-14T00:00:00"/>
    <m/>
    <s v="Umum"/>
    <m/>
    <s v="C.13311"/>
    <m/>
    <s v="RANI"/>
    <m/>
    <s v="WAHYU PRATAMA"/>
    <m/>
    <s v="SERVICE HANDPHONE"/>
    <m/>
    <x v="1"/>
    <m/>
    <s v="EKO RISDIYANTORO JATIMULYA"/>
    <m/>
    <x v="2"/>
    <m/>
    <s v="WAHYU PRATAMA"/>
    <m/>
    <s v="LCD"/>
    <m/>
    <s v="APPLE"/>
    <m/>
    <s v="IPH 14"/>
    <m/>
    <s v="107028"/>
    <m/>
    <s v="LCD.. IPH 14 INCEL B"/>
    <m/>
    <n v="290000"/>
    <m/>
    <n v="1"/>
    <m/>
    <n v="340000"/>
    <m/>
    <n v="340000"/>
    <m/>
    <m/>
    <m/>
    <s v="N/A"/>
  </r>
  <r>
    <m/>
    <x v="20"/>
    <m/>
    <s v="MF-FP.25177"/>
    <m/>
    <s v="MF-ST.22683"/>
    <m/>
    <d v="2026-05-14T00:00:00"/>
    <m/>
    <s v="Umum"/>
    <m/>
    <s v="C.13311"/>
    <m/>
    <s v="RANI"/>
    <m/>
    <s v="WAHYU PRATAMA"/>
    <m/>
    <s v="SERVICE HANDPHONE"/>
    <m/>
    <x v="2"/>
    <m/>
    <s v="EKO RISDIYANTORO JATIMULYA"/>
    <m/>
    <x v="2"/>
    <m/>
    <s v="WAHYU PRATAMA"/>
    <m/>
    <s v="LCD"/>
    <m/>
    <s v="APPLE"/>
    <m/>
    <s v="IPH 14"/>
    <m/>
    <s v="107200"/>
    <m/>
    <s v="LUNA DATA CABLE TYPE-C CB-2EC"/>
    <m/>
    <n v="9500"/>
    <m/>
    <n v="1"/>
    <m/>
    <n v="10000"/>
    <m/>
    <n v="10000"/>
    <m/>
    <m/>
    <m/>
    <s v="N/A"/>
  </r>
  <r>
    <m/>
    <x v="20"/>
    <m/>
    <s v="MF-FP.25180"/>
    <m/>
    <s v="MF-ST.22687"/>
    <m/>
    <d v="2026-05-14T00:00:00"/>
    <m/>
    <s v="Umum"/>
    <m/>
    <s v="C.11630"/>
    <m/>
    <s v="ZAKI"/>
    <m/>
    <s v="WAHYU PRATAMA"/>
    <m/>
    <s v="SERVICE HANDPHONE"/>
    <m/>
    <x v="0"/>
    <m/>
    <s v="EKO RISDIYANTORO JATIMULYA"/>
    <m/>
    <x v="2"/>
    <m/>
    <s v="WAHYU PRATAMA"/>
    <m/>
    <s v="REPAIR"/>
    <m/>
    <s v="ASUS"/>
    <m/>
    <s v="ROG 7"/>
    <m/>
    <s v="JASA71"/>
    <m/>
    <s v="JASA REPAIR"/>
    <m/>
    <n v="0"/>
    <m/>
    <n v="1"/>
    <m/>
    <n v="480000"/>
    <m/>
    <n v="480000"/>
    <m/>
    <m/>
    <m/>
    <s v="N/A"/>
  </r>
  <r>
    <m/>
    <x v="20"/>
    <m/>
    <s v="MF-FP.25180"/>
    <m/>
    <s v="MF-ST.22687"/>
    <m/>
    <d v="2026-05-14T00:00:00"/>
    <m/>
    <s v="Umum"/>
    <m/>
    <s v="C.11630"/>
    <m/>
    <s v="ZAKI"/>
    <m/>
    <s v="WAHYU PRATAMA"/>
    <m/>
    <s v="SERVICE HANDPHONE"/>
    <m/>
    <x v="2"/>
    <m/>
    <s v="EKO RISDIYANTORO JATIMULYA"/>
    <m/>
    <x v="2"/>
    <m/>
    <s v="WAHYU PRATAMA"/>
    <m/>
    <s v="REPAIR"/>
    <m/>
    <s v="ASUS"/>
    <m/>
    <s v="ROG 7"/>
    <m/>
    <s v="107200"/>
    <m/>
    <s v="LUNA DATA CABLE TYPE-C CB-2EC"/>
    <m/>
    <n v="9500"/>
    <m/>
    <n v="1"/>
    <m/>
    <n v="20000"/>
    <m/>
    <n v="20000"/>
    <m/>
    <m/>
    <m/>
    <s v="N/A"/>
  </r>
  <r>
    <m/>
    <x v="20"/>
    <m/>
    <s v="MF-FP.25178"/>
    <m/>
    <s v="MF-ST.22681"/>
    <m/>
    <d v="2026-05-14T00:00:00"/>
    <m/>
    <s v="Umum"/>
    <m/>
    <s v="C.13311"/>
    <m/>
    <s v="RANI"/>
    <m/>
    <s v="WAHYU PRATAMA"/>
    <m/>
    <s v="SERVICE HANDPHONE"/>
    <m/>
    <x v="0"/>
    <m/>
    <s v="EKO RISDIYANTORO JATIMULYA"/>
    <m/>
    <x v="2"/>
    <m/>
    <s v="WAHYU PRATAMA"/>
    <m/>
    <s v="LCD"/>
    <m/>
    <s v="OPPO"/>
    <m/>
    <s v="A96"/>
    <m/>
    <s v="JASA71"/>
    <m/>
    <s v="JASA REPAIR"/>
    <m/>
    <n v="0"/>
    <m/>
    <n v="1"/>
    <m/>
    <n v="160000"/>
    <m/>
    <n v="160000"/>
    <m/>
    <m/>
    <m/>
    <s v="N/A"/>
  </r>
  <r>
    <m/>
    <x v="20"/>
    <m/>
    <s v="MF-FP.25178"/>
    <m/>
    <s v="MF-ST.22681"/>
    <m/>
    <d v="2026-05-14T00:00:00"/>
    <m/>
    <s v="Umum"/>
    <m/>
    <s v="C.13311"/>
    <m/>
    <s v="RANI"/>
    <m/>
    <s v="WAHYU PRATAMA"/>
    <m/>
    <s v="SERVICE HANDPHONE"/>
    <m/>
    <x v="1"/>
    <m/>
    <s v="EKO RISDIYANTORO JATIMULYA"/>
    <m/>
    <x v="2"/>
    <m/>
    <s v="WAHYU PRATAMA"/>
    <m/>
    <s v="LCD"/>
    <m/>
    <s v="OPPO"/>
    <m/>
    <s v="A96"/>
    <m/>
    <s v="100353"/>
    <m/>
    <s v="LCD.. OPP A96 RLM 8i/RLM 9i/NARZO 50"/>
    <m/>
    <n v="155934.375"/>
    <m/>
    <n v="1"/>
    <m/>
    <n v="205000"/>
    <m/>
    <n v="205000"/>
    <m/>
    <m/>
    <m/>
    <s v="N/A"/>
  </r>
  <r>
    <m/>
    <x v="20"/>
    <m/>
    <s v="MF-FP.25178"/>
    <m/>
    <s v="MF-ST.22681"/>
    <m/>
    <d v="2026-05-14T00:00:00"/>
    <m/>
    <s v="Umum"/>
    <m/>
    <s v="C.13311"/>
    <m/>
    <s v="RANI"/>
    <m/>
    <s v="WAHYU PRATAMA"/>
    <m/>
    <s v="SERVICE HANDPHONE"/>
    <m/>
    <x v="2"/>
    <m/>
    <s v="EKO RISDIYANTORO JATIMULYA"/>
    <m/>
    <x v="2"/>
    <m/>
    <s v="WAHYU PRATAMA"/>
    <m/>
    <s v="LCD"/>
    <m/>
    <s v="OPPO"/>
    <m/>
    <s v="A96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20"/>
    <m/>
    <s v="MF-FP.25178"/>
    <m/>
    <s v="MF-ST.22681"/>
    <m/>
    <d v="2026-05-14T00:00:00"/>
    <m/>
    <s v="Umum"/>
    <m/>
    <s v="C.13311"/>
    <m/>
    <s v="RANI"/>
    <m/>
    <s v="WAHYU PRATAMA"/>
    <m/>
    <s v="SERVICE HANDPHONE"/>
    <m/>
    <x v="2"/>
    <m/>
    <s v="EKO RISDIYANTORO JATIMULYA"/>
    <m/>
    <x v="2"/>
    <m/>
    <s v="WAHYU PRATAMA"/>
    <m/>
    <s v="LCD"/>
    <m/>
    <s v="OPPO"/>
    <m/>
    <s v="A96"/>
    <m/>
    <s v="107200"/>
    <m/>
    <s v="LUNA DATA CABLE TYPE-C CB-2EC"/>
    <m/>
    <n v="9500"/>
    <m/>
    <n v="1"/>
    <m/>
    <n v="10000"/>
    <m/>
    <n v="10000"/>
    <m/>
    <m/>
    <m/>
    <s v="N/A"/>
  </r>
  <r>
    <m/>
    <x v="21"/>
    <m/>
    <s v="MF-FP.25181"/>
    <m/>
    <s v="MF-ST.22689"/>
    <m/>
    <d v="2026-05-15T00:00:00"/>
    <m/>
    <s v="Member Reguler"/>
    <m/>
    <s v="C.06991"/>
    <m/>
    <s v="FAUZI"/>
    <m/>
    <s v="WAHYU PRATAMA"/>
    <m/>
    <s v="PENJUALAN AKSESORIS"/>
    <m/>
    <x v="2"/>
    <m/>
    <s v="N/A"/>
    <m/>
    <x v="5"/>
    <m/>
    <s v="WAHYU PRATAMA"/>
    <m/>
    <s v="BATERAI"/>
    <m/>
    <s v="SAMSUNG"/>
    <m/>
    <s v="SAM"/>
    <m/>
    <s v="100077"/>
    <m/>
    <s v="FOOMEE KABEL DATA NT13-C TYPE-C TOPLES 2.4A"/>
    <m/>
    <n v="9590"/>
    <m/>
    <n v="1"/>
    <m/>
    <n v="15000"/>
    <m/>
    <n v="15000"/>
    <m/>
    <s v="Achmad Indrawanto"/>
    <m/>
    <s v="N/A"/>
  </r>
  <r>
    <m/>
    <x v="21"/>
    <m/>
    <s v="MF-FP.25182"/>
    <m/>
    <s v="MF-ST.22691"/>
    <m/>
    <d v="2026-05-15T00:00:00"/>
    <m/>
    <s v="Member Reguler"/>
    <m/>
    <s v="C.07356"/>
    <m/>
    <s v="RANGGA"/>
    <m/>
    <s v="WAHYU PRATAMA"/>
    <m/>
    <s v="SERVICE HANDPHONE"/>
    <m/>
    <x v="1"/>
    <m/>
    <s v="YUVI NOFERIANTO"/>
    <m/>
    <x v="4"/>
    <m/>
    <s v="WAHYU PRATAMA"/>
    <m/>
    <s v="KONEKTOR CHARGER"/>
    <m/>
    <s v="SAMSUNG"/>
    <m/>
    <s v="A34"/>
    <m/>
    <s v="100135"/>
    <m/>
    <s v="KNCRG LNV LENOVO FST"/>
    <m/>
    <n v="789.03900699999997"/>
    <m/>
    <n v="1"/>
    <m/>
    <n v="5000"/>
    <m/>
    <n v="5000"/>
    <m/>
    <s v="Achmad Indrawanto"/>
    <m/>
    <s v="N/A"/>
  </r>
  <r>
    <m/>
    <x v="21"/>
    <m/>
    <s v="MF-FP.25182"/>
    <m/>
    <s v="MF-ST.22691"/>
    <m/>
    <d v="2026-05-15T00:00:00"/>
    <m/>
    <s v="Member Reguler"/>
    <m/>
    <s v="C.07356"/>
    <m/>
    <s v="RANGGA"/>
    <m/>
    <s v="WAHYU PRATAMA"/>
    <m/>
    <s v="SERVICE HANDPHONE"/>
    <m/>
    <x v="0"/>
    <m/>
    <s v="YUVI NOFERIANTO"/>
    <m/>
    <x v="4"/>
    <m/>
    <s v="WAHYU PRATAMA"/>
    <m/>
    <s v="KONEKTOR CHARGER"/>
    <m/>
    <s v="SAMSUNG"/>
    <m/>
    <s v="A34"/>
    <m/>
    <s v="JASA71"/>
    <m/>
    <s v="JASA REPAIR"/>
    <m/>
    <n v="0"/>
    <m/>
    <n v="1"/>
    <m/>
    <n v="135000"/>
    <m/>
    <n v="135000"/>
    <m/>
    <s v="Achmad Indrawanto"/>
    <m/>
    <s v="N/A"/>
  </r>
  <r>
    <m/>
    <x v="21"/>
    <m/>
    <s v="MF-FP.25182"/>
    <m/>
    <s v="MF-ST.22691"/>
    <m/>
    <d v="2026-05-15T00:00:00"/>
    <m/>
    <s v="Member Reguler"/>
    <m/>
    <s v="C.07356"/>
    <m/>
    <s v="RANGGA"/>
    <m/>
    <s v="WAHYU PRATAMA"/>
    <m/>
    <s v="SERVICE HANDPHONE"/>
    <m/>
    <x v="2"/>
    <m/>
    <s v="YUVI NOFERIANTO"/>
    <m/>
    <x v="4"/>
    <m/>
    <s v="WAHYU PRATAMA"/>
    <m/>
    <s v="KONEKTOR CHARGER"/>
    <m/>
    <s v="SAMSUNG"/>
    <m/>
    <s v="A34"/>
    <m/>
    <s v="107200"/>
    <m/>
    <s v="LUNA DATA CABLE TYPE-C CB-2EC"/>
    <m/>
    <n v="9500"/>
    <m/>
    <n v="1"/>
    <m/>
    <n v="10000"/>
    <m/>
    <n v="10000"/>
    <m/>
    <s v="Achmad Indrawanto"/>
    <m/>
    <s v="N/A"/>
  </r>
  <r>
    <m/>
    <x v="21"/>
    <m/>
    <s v="MF-FP.25183"/>
    <m/>
    <s v="MF-ST.22692"/>
    <m/>
    <d v="2026-05-15T00:00:00"/>
    <m/>
    <s v="Umum"/>
    <m/>
    <s v="C.08089"/>
    <m/>
    <s v="ARI"/>
    <m/>
    <s v="WAHYU PRATAMA"/>
    <m/>
    <s v="SERVICE HANDPHONE"/>
    <m/>
    <x v="0"/>
    <m/>
    <s v="MUSTOFA"/>
    <m/>
    <x v="1"/>
    <m/>
    <s v="WAHYU PRATAMA"/>
    <m/>
    <s v="REPAIR"/>
    <m/>
    <s v="XIAOMI"/>
    <m/>
    <s v="EDMI 9C"/>
    <m/>
    <s v="JASA71"/>
    <m/>
    <s v="JASA REPAIR"/>
    <m/>
    <n v="0"/>
    <m/>
    <n v="1"/>
    <m/>
    <n v="160000"/>
    <m/>
    <n v="160000"/>
    <m/>
    <m/>
    <m/>
    <s v="N/A"/>
  </r>
  <r>
    <m/>
    <x v="21"/>
    <m/>
    <s v="MF-FP.25183"/>
    <m/>
    <s v="MF-ST.22692"/>
    <m/>
    <d v="2026-05-15T00:00:00"/>
    <m/>
    <s v="Umum"/>
    <m/>
    <s v="C.08089"/>
    <m/>
    <s v="ARI"/>
    <m/>
    <s v="WAHYU PRATAMA"/>
    <m/>
    <s v="SERVICE HANDPHONE"/>
    <m/>
    <x v="2"/>
    <m/>
    <s v="MUSTOFA"/>
    <m/>
    <x v="1"/>
    <m/>
    <s v="WAHYU PRATAMA"/>
    <m/>
    <s v="REPAIR"/>
    <m/>
    <s v="XIAOMI"/>
    <m/>
    <s v="EDMI 9C"/>
    <m/>
    <s v="107200"/>
    <m/>
    <s v="LUNA DATA CABLE TYPE-C CB-2EC"/>
    <m/>
    <n v="9500"/>
    <m/>
    <n v="1"/>
    <m/>
    <n v="10000"/>
    <m/>
    <n v="10000"/>
    <m/>
    <m/>
    <m/>
    <s v="N/A"/>
  </r>
  <r>
    <m/>
    <x v="21"/>
    <m/>
    <s v="MF-FP.25184"/>
    <m/>
    <s v="MF-ST.22693"/>
    <m/>
    <d v="2026-05-15T00:00:00"/>
    <m/>
    <s v="Member Reguler"/>
    <m/>
    <s v="C.06527"/>
    <m/>
    <s v="Prayogo"/>
    <m/>
    <s v="WAHYU PRATAMA"/>
    <m/>
    <s v="SERVICE HANDPHONE"/>
    <m/>
    <x v="0"/>
    <m/>
    <s v="YUVI NOFERIANTO"/>
    <m/>
    <x v="4"/>
    <m/>
    <s v="WAHYU PRATAMA"/>
    <m/>
    <s v="BATERAI"/>
    <m/>
    <s v="INFINIX"/>
    <m/>
    <s v="HOT 10"/>
    <m/>
    <s v="JASA71"/>
    <m/>
    <s v="JASA REPAIR"/>
    <m/>
    <n v="0"/>
    <m/>
    <n v="1"/>
    <m/>
    <n v="160000"/>
    <m/>
    <n v="160000"/>
    <m/>
    <m/>
    <m/>
    <s v="N/A"/>
  </r>
  <r>
    <m/>
    <x v="21"/>
    <m/>
    <s v="MF-FP.25184"/>
    <m/>
    <s v="MF-ST.22693"/>
    <m/>
    <d v="2026-05-15T00:00:00"/>
    <m/>
    <s v="Member Reguler"/>
    <m/>
    <s v="C.06527"/>
    <m/>
    <s v="Prayogo"/>
    <m/>
    <s v="WAHYU PRATAMA"/>
    <m/>
    <s v="SERVICE HANDPHONE"/>
    <m/>
    <x v="1"/>
    <m/>
    <s v="YUVI NOFERIANTO"/>
    <m/>
    <x v="4"/>
    <m/>
    <s v="WAHYU PRATAMA"/>
    <m/>
    <s v="BATERAI"/>
    <m/>
    <s v="INFINIX"/>
    <m/>
    <s v="HOT 10"/>
    <m/>
    <s v="100472"/>
    <m/>
    <s v="BATER INF NOTE 8 X692 / HOT 10 / HOT 11 BL-51BX"/>
    <m/>
    <n v="114516.963483"/>
    <m/>
    <n v="1"/>
    <m/>
    <n v="130000"/>
    <m/>
    <n v="130000"/>
    <m/>
    <m/>
    <m/>
    <s v="N/A"/>
  </r>
  <r>
    <m/>
    <x v="21"/>
    <m/>
    <s v="MF-FP.25184"/>
    <m/>
    <s v="MF-ST.22693"/>
    <m/>
    <d v="2026-05-15T00:00:00"/>
    <m/>
    <s v="Member Reguler"/>
    <m/>
    <s v="C.06527"/>
    <m/>
    <s v="Prayogo"/>
    <m/>
    <s v="WAHYU PRATAMA"/>
    <m/>
    <s v="SERVICE HANDPHONE"/>
    <m/>
    <x v="2"/>
    <m/>
    <s v="YUVI NOFERIANTO"/>
    <m/>
    <x v="4"/>
    <m/>
    <s v="WAHYU PRATAMA"/>
    <m/>
    <s v="BATERAI"/>
    <m/>
    <s v="INFINIX"/>
    <m/>
    <s v="HOT 10"/>
    <m/>
    <s v="107200"/>
    <m/>
    <s v="LUNA DATA CABLE TYPE-C CB-2EC"/>
    <m/>
    <n v="9500"/>
    <m/>
    <n v="1"/>
    <m/>
    <n v="10000"/>
    <m/>
    <n v="10000"/>
    <m/>
    <m/>
    <m/>
    <s v="N/A"/>
  </r>
  <r>
    <m/>
    <x v="21"/>
    <m/>
    <s v="MF-FP.25185"/>
    <m/>
    <s v="MF-ST.22688"/>
    <m/>
    <d v="2026-05-15T00:00:00"/>
    <m/>
    <s v="Umum"/>
    <m/>
    <s v="C.08913"/>
    <m/>
    <s v="MUHAMMAD FANHAS FIRDAUS"/>
    <m/>
    <s v="WAHYU PRATAMA"/>
    <m/>
    <s v="SERVICE HANDPHONE"/>
    <m/>
    <x v="0"/>
    <m/>
    <s v="MUSTOFA"/>
    <m/>
    <x v="1"/>
    <m/>
    <s v="WAHYU PRATAMA"/>
    <m/>
    <s v="REPAIR"/>
    <m/>
    <s v="SAMSUNG"/>
    <m/>
    <s v="A51"/>
    <m/>
    <s v="JASA71"/>
    <m/>
    <s v="JASA REPAIR"/>
    <m/>
    <n v="0"/>
    <m/>
    <n v="1"/>
    <m/>
    <n v="160000"/>
    <m/>
    <n v="160000"/>
    <m/>
    <m/>
    <m/>
    <s v="N/A"/>
  </r>
  <r>
    <m/>
    <x v="21"/>
    <m/>
    <s v="MF-FP.25185"/>
    <m/>
    <s v="MF-ST.22688"/>
    <m/>
    <d v="2026-05-15T00:00:00"/>
    <m/>
    <s v="Umum"/>
    <m/>
    <s v="C.08913"/>
    <m/>
    <s v="MUHAMMAD FANHAS FIRDAUS"/>
    <m/>
    <s v="WAHYU PRATAMA"/>
    <m/>
    <s v="SERVICE HANDPHONE"/>
    <m/>
    <x v="2"/>
    <m/>
    <s v="MUSTOFA"/>
    <m/>
    <x v="1"/>
    <m/>
    <s v="WAHYU PRATAMA"/>
    <m/>
    <s v="REPAIR"/>
    <m/>
    <s v="SAMSUNG"/>
    <m/>
    <s v="A51"/>
    <m/>
    <s v="107200"/>
    <m/>
    <s v="LUNA DATA CABLE TYPE-C CB-2EC"/>
    <m/>
    <n v="9500"/>
    <m/>
    <n v="1"/>
    <m/>
    <n v="10000"/>
    <m/>
    <n v="10000"/>
    <m/>
    <m/>
    <m/>
    <s v="N/A"/>
  </r>
  <r>
    <m/>
    <x v="21"/>
    <m/>
    <s v="MF-FP.25186"/>
    <m/>
    <s v="MF-ST.22694"/>
    <m/>
    <d v="2026-05-15T00:00:00"/>
    <m/>
    <s v="Umum"/>
    <m/>
    <s v="C.13314"/>
    <m/>
    <s v="PAK UMAR SAID"/>
    <m/>
    <s v="WAHYU PRATAMA"/>
    <m/>
    <s v="PENJUALAN LAPTOP"/>
    <m/>
    <x v="5"/>
    <m/>
    <s v="N/A"/>
    <m/>
    <x v="5"/>
    <m/>
    <s v="WAHYU PRATAMA"/>
    <m/>
    <s v="N/A"/>
    <m/>
    <s v="HP"/>
    <m/>
    <s v="840  G7"/>
    <m/>
    <s v="107183"/>
    <m/>
    <s v="HP ELITEBOOK 840 G7 i5 GEN 10 16/256GB"/>
    <m/>
    <n v="4450000"/>
    <m/>
    <n v="1"/>
    <m/>
    <n v="5210000"/>
    <m/>
    <n v="5210000"/>
    <m/>
    <s v="WAHYU PRATAMA"/>
    <m/>
    <s v="N/A"/>
  </r>
  <r>
    <m/>
    <x v="21"/>
    <m/>
    <s v="MF-FP.25186"/>
    <m/>
    <s v="MF-ST.22694"/>
    <m/>
    <d v="2026-05-15T00:00:00"/>
    <m/>
    <s v="Umum"/>
    <m/>
    <s v="C.13314"/>
    <m/>
    <s v="PAK UMAR SAID"/>
    <m/>
    <s v="WAHYU PRATAMA"/>
    <m/>
    <s v="PENJUALAN LAPTOP"/>
    <m/>
    <x v="2"/>
    <m/>
    <s v="N/A"/>
    <m/>
    <x v="5"/>
    <m/>
    <s v="WAHYU PRATAMA"/>
    <m/>
    <s v="N/A"/>
    <m/>
    <s v="HP"/>
    <m/>
    <s v="840  G7"/>
    <m/>
    <s v="100026"/>
    <m/>
    <s v="ROBOT MOUSE M210 WHITE"/>
    <m/>
    <n v="53843.544388000002"/>
    <m/>
    <n v="1"/>
    <m/>
    <n v="90000"/>
    <m/>
    <n v="90000"/>
    <m/>
    <s v="WAHYU PRATAMA"/>
    <m/>
    <s v="N/A"/>
  </r>
  <r>
    <m/>
    <x v="21"/>
    <m/>
    <s v="MF-FP.25186"/>
    <m/>
    <s v="MF-ST.22694"/>
    <m/>
    <d v="2026-05-15T00:00:00"/>
    <m/>
    <s v="Umum"/>
    <m/>
    <s v="C.13314"/>
    <m/>
    <s v="PAK UMAR SAID"/>
    <m/>
    <s v="WAHYU PRATAMA"/>
    <m/>
    <s v="PENJUALAN LAPTOP"/>
    <m/>
    <x v="4"/>
    <m/>
    <s v="N/A"/>
    <m/>
    <x v="5"/>
    <m/>
    <s v="WAHYU PRATAMA"/>
    <m/>
    <s v="N/A"/>
    <m/>
    <s v="HP"/>
    <m/>
    <s v="840  G7"/>
    <m/>
    <s v="PFUM-009"/>
    <m/>
    <s v="UMAIR ADN 30ML"/>
    <m/>
    <n v="160000"/>
    <m/>
    <n v="1"/>
    <m/>
    <n v="200000"/>
    <m/>
    <n v="200000"/>
    <m/>
    <s v="WAHYU PRATAMA"/>
    <m/>
    <s v="N/A"/>
  </r>
  <r>
    <m/>
    <x v="21"/>
    <m/>
    <s v="MF-FP.25187"/>
    <m/>
    <s v="MF-ST.22417"/>
    <m/>
    <d v="2026-05-03T00:00:00"/>
    <m/>
    <s v="Member Reguler"/>
    <m/>
    <s v="C.04375"/>
    <m/>
    <s v="RADITYA DIMAS"/>
    <m/>
    <s v="HANIF"/>
    <m/>
    <s v="SERVICE HANDPHONE"/>
    <m/>
    <x v="0"/>
    <m/>
    <s v="EKO RISDIYANTORO JATIMULYA"/>
    <m/>
    <x v="2"/>
    <m/>
    <s v="WAHYU PRATAMA"/>
    <m/>
    <s v="FLEXIBEL CHARGER (PAPAN KONEKTOR)"/>
    <m/>
    <s v="SAMSUNG"/>
    <m/>
    <s v="note 20 ULTRA"/>
    <m/>
    <s v="JASA71"/>
    <m/>
    <s v="JASA REPAIR"/>
    <m/>
    <n v="0"/>
    <m/>
    <n v="1"/>
    <m/>
    <n v="615000"/>
    <m/>
    <n v="615000"/>
    <m/>
    <s v="TEGAR PUTRA YANSA SALES"/>
    <m/>
    <s v="N/A"/>
  </r>
  <r>
    <m/>
    <x v="21"/>
    <m/>
    <s v="MF-FP.25187"/>
    <m/>
    <s v="MF-ST.22417"/>
    <m/>
    <d v="2026-05-03T00:00:00"/>
    <m/>
    <s v="Member Reguler"/>
    <m/>
    <s v="C.04375"/>
    <m/>
    <s v="RADITYA DIMAS"/>
    <m/>
    <s v="HANIF"/>
    <m/>
    <s v="SERVICE HANDPHONE"/>
    <m/>
    <x v="1"/>
    <m/>
    <s v="EKO RISDIYANTORO JATIMULYA"/>
    <m/>
    <x v="2"/>
    <m/>
    <s v="WAHYU PRATAMA"/>
    <m/>
    <s v="FLEXIBEL CHARGER (PAPAN KONEKTOR)"/>
    <m/>
    <s v="SAMSUNG"/>
    <m/>
    <s v="note 20 ULTRA"/>
    <m/>
    <s v="105696"/>
    <m/>
    <s v="SOCKET FLEX BOARD SAM NOTE 20 ULTRA 54 PIN"/>
    <m/>
    <n v="14000"/>
    <m/>
    <n v="1"/>
    <m/>
    <n v="25000"/>
    <m/>
    <n v="25000"/>
    <m/>
    <s v="TEGAR PUTRA YANSA SALES"/>
    <m/>
    <s v="N/A"/>
  </r>
  <r>
    <m/>
    <x v="21"/>
    <m/>
    <s v="MF-FP.25187"/>
    <m/>
    <s v="MF-ST.22417"/>
    <m/>
    <d v="2026-05-03T00:00:00"/>
    <m/>
    <s v="Member Reguler"/>
    <m/>
    <s v="C.04375"/>
    <m/>
    <s v="RADITYA DIMAS"/>
    <m/>
    <s v="HANIF"/>
    <m/>
    <s v="SERVICE HANDPHONE"/>
    <m/>
    <x v="2"/>
    <m/>
    <s v="EKO RISDIYANTORO JATIMULYA"/>
    <m/>
    <x v="2"/>
    <m/>
    <s v="WAHYU PRATAMA"/>
    <m/>
    <s v="FLEXIBEL CHARGER (PAPAN KONEKTOR)"/>
    <m/>
    <s v="SAMSUNG"/>
    <m/>
    <s v="note 20 ULTRA"/>
    <m/>
    <s v="107200"/>
    <m/>
    <s v="LUNA DATA CABLE TYPE-C CB-2EC"/>
    <m/>
    <n v="9500"/>
    <m/>
    <n v="1"/>
    <m/>
    <n v="10000"/>
    <m/>
    <n v="10000"/>
    <m/>
    <s v="TEGAR PUTRA YANSA SALES"/>
    <m/>
    <s v="N/A"/>
  </r>
  <r>
    <m/>
    <x v="21"/>
    <m/>
    <s v="MF-FP.25188"/>
    <m/>
    <s v="MF-ST.22699"/>
    <m/>
    <d v="2026-05-15T00:00:00"/>
    <m/>
    <s v="Umum"/>
    <m/>
    <s v="C.13318"/>
    <m/>
    <s v="ANGGORO"/>
    <m/>
    <s v="WAHYU PRATAMA"/>
    <m/>
    <s v="SERVICE HANDPHONE"/>
    <m/>
    <x v="0"/>
    <m/>
    <s v="MUSTOFA"/>
    <m/>
    <x v="4"/>
    <m/>
    <s v="WAHYU PRATAMA"/>
    <m/>
    <s v="REPAIR"/>
    <m/>
    <s v="SAMSUNG"/>
    <m/>
    <s v="A23"/>
    <m/>
    <s v="JASA71"/>
    <m/>
    <s v="JASA REPAIR"/>
    <m/>
    <n v="0"/>
    <m/>
    <n v="1"/>
    <m/>
    <n v="160000"/>
    <m/>
    <n v="160000"/>
    <m/>
    <m/>
    <m/>
    <s v="N/A"/>
  </r>
  <r>
    <m/>
    <x v="21"/>
    <m/>
    <s v="MF-FP.25188"/>
    <m/>
    <s v="MF-ST.22699"/>
    <m/>
    <d v="2026-05-15T00:00:00"/>
    <m/>
    <s v="Umum"/>
    <m/>
    <s v="C.13318"/>
    <m/>
    <s v="ANGGORO"/>
    <m/>
    <s v="WAHYU PRATAMA"/>
    <m/>
    <s v="SERVICE HANDPHONE"/>
    <m/>
    <x v="1"/>
    <m/>
    <s v="MUSTOFA"/>
    <m/>
    <x v="4"/>
    <m/>
    <s v="WAHYU PRATAMA"/>
    <m/>
    <s v="REPAIR"/>
    <m/>
    <s v="SAMSUNG"/>
    <m/>
    <s v="A23"/>
    <m/>
    <s v="105084"/>
    <m/>
    <s v="FLEX. FINGER SAM A23"/>
    <m/>
    <n v="45250"/>
    <m/>
    <n v="1"/>
    <m/>
    <n v="80000"/>
    <m/>
    <n v="80000"/>
    <m/>
    <m/>
    <m/>
    <s v="N/A"/>
  </r>
  <r>
    <m/>
    <x v="21"/>
    <m/>
    <s v="MF-FP.25188"/>
    <m/>
    <s v="MF-ST.22699"/>
    <m/>
    <d v="2026-05-15T00:00:00"/>
    <m/>
    <s v="Umum"/>
    <m/>
    <s v="C.13318"/>
    <m/>
    <s v="ANGGORO"/>
    <m/>
    <s v="WAHYU PRATAMA"/>
    <m/>
    <s v="SERVICE HANDPHONE"/>
    <m/>
    <x v="2"/>
    <m/>
    <s v="MUSTOFA"/>
    <m/>
    <x v="4"/>
    <m/>
    <s v="WAHYU PRATAMA"/>
    <m/>
    <s v="REPAIR"/>
    <m/>
    <s v="SAMSUNG"/>
    <m/>
    <s v="A23"/>
    <m/>
    <s v="107200"/>
    <m/>
    <s v="LUNA DATA CABLE TYPE-C CB-2EC"/>
    <m/>
    <n v="9500"/>
    <m/>
    <n v="1"/>
    <m/>
    <n v="10000"/>
    <m/>
    <n v="10000"/>
    <m/>
    <m/>
    <m/>
    <s v="N/A"/>
  </r>
  <r>
    <m/>
    <x v="21"/>
    <m/>
    <s v="MF-FP.25191"/>
    <m/>
    <s v="MF-ST.22582"/>
    <m/>
    <d v="2026-05-10T00:00:00"/>
    <m/>
    <s v="Umum"/>
    <m/>
    <s v="C.00769"/>
    <m/>
    <s v="DWITA"/>
    <m/>
    <s v="WAHYU PRATAMA"/>
    <m/>
    <s v="SERVICE LAPTOP"/>
    <m/>
    <x v="0"/>
    <m/>
    <s v="ARIFIN SANTOSO JATIMULYA"/>
    <m/>
    <x v="6"/>
    <m/>
    <s v="WAHYU PRATAMA"/>
    <m/>
    <s v="SOFTWARE"/>
    <m/>
    <s v="APPLE"/>
    <m/>
    <s v="Macbook air A1465"/>
    <m/>
    <s v="JASA71"/>
    <m/>
    <s v="JASA REPAIR"/>
    <m/>
    <n v="0"/>
    <m/>
    <n v="1"/>
    <m/>
    <n v="640000"/>
    <m/>
    <n v="640000"/>
    <m/>
    <m/>
    <m/>
    <s v="N/A"/>
  </r>
  <r>
    <m/>
    <x v="21"/>
    <m/>
    <s v="MF-FP.25191"/>
    <m/>
    <s v="MF-ST.22582"/>
    <m/>
    <d v="2026-05-10T00:00:00"/>
    <m/>
    <s v="Umum"/>
    <m/>
    <s v="C.00769"/>
    <m/>
    <s v="DWITA"/>
    <m/>
    <s v="WAHYU PRATAMA"/>
    <m/>
    <s v="SERVICE LAPTOP"/>
    <m/>
    <x v="2"/>
    <m/>
    <s v="ARIFIN SANTOSO JATIMULYA"/>
    <m/>
    <x v="6"/>
    <m/>
    <s v="WAHYU PRATAMA"/>
    <m/>
    <s v="SOFTWARE"/>
    <m/>
    <s v="APPLE"/>
    <m/>
    <s v="Macbook air A1465"/>
    <m/>
    <s v="107200"/>
    <m/>
    <s v="LUNA DATA CABLE TYPE-C CB-2EC"/>
    <m/>
    <n v="9500"/>
    <m/>
    <n v="1"/>
    <m/>
    <n v="10000"/>
    <m/>
    <n v="10000"/>
    <m/>
    <m/>
    <m/>
    <s v="N/A"/>
  </r>
  <r>
    <m/>
    <x v="21"/>
    <m/>
    <s v="MF-FP.25195"/>
    <m/>
    <s v="MF-ST.21540"/>
    <m/>
    <d v="2026-04-01T00:00:00"/>
    <m/>
    <s v="Umum"/>
    <m/>
    <s v="C.00077"/>
    <m/>
    <s v="Pak Iqbal"/>
    <m/>
    <s v="WAHYU PRATAMA"/>
    <m/>
    <s v="SERVICE HANDPHONE"/>
    <m/>
    <x v="1"/>
    <m/>
    <s v="EKO RISDIYANTORO JATIMULYA"/>
    <m/>
    <x v="2"/>
    <m/>
    <s v="HANIF"/>
    <m/>
    <s v="LCD"/>
    <m/>
    <s v="INFINIX"/>
    <m/>
    <s v="NOTE 40"/>
    <m/>
    <s v="107101"/>
    <m/>
    <s v="BCKDR INF NOTE 40"/>
    <m/>
    <n v="45000"/>
    <m/>
    <n v="1"/>
    <m/>
    <n v="60000"/>
    <m/>
    <n v="60000"/>
    <m/>
    <m/>
    <m/>
    <s v="N/A"/>
  </r>
  <r>
    <m/>
    <x v="21"/>
    <m/>
    <s v="MF-FP.25195"/>
    <m/>
    <s v="MF-ST.21540"/>
    <m/>
    <d v="2026-04-01T00:00:00"/>
    <m/>
    <s v="Umum"/>
    <m/>
    <s v="C.00077"/>
    <m/>
    <s v="Pak Iqbal"/>
    <m/>
    <s v="WAHYU PRATAMA"/>
    <m/>
    <s v="SERVICE HANDPHONE"/>
    <m/>
    <x v="1"/>
    <m/>
    <s v="EKO RISDIYANTORO JATIMULYA"/>
    <m/>
    <x v="2"/>
    <m/>
    <s v="HANIF"/>
    <m/>
    <s v="LCD"/>
    <m/>
    <s v="INFINIX"/>
    <m/>
    <s v="NOTE 40"/>
    <m/>
    <s v="107109"/>
    <m/>
    <s v="LCD.. INF NOTE 40 ORI COPOTAN"/>
    <m/>
    <n v="704000"/>
    <m/>
    <n v="1"/>
    <m/>
    <n v="800000"/>
    <m/>
    <n v="800000"/>
    <m/>
    <m/>
    <m/>
    <s v="N/A"/>
  </r>
  <r>
    <m/>
    <x v="21"/>
    <m/>
    <s v="MF-FP.25192"/>
    <m/>
    <s v="MF-ST.22690"/>
    <m/>
    <d v="2026-05-13T00:00:00"/>
    <m/>
    <s v="Umum"/>
    <m/>
    <s v="C.13313"/>
    <m/>
    <s v="AISYAH"/>
    <m/>
    <s v="WAHYU PRATAMA"/>
    <m/>
    <s v="SERVICE HANDPHONE"/>
    <m/>
    <x v="0"/>
    <m/>
    <s v="YUVI NOFERIANTO"/>
    <m/>
    <x v="4"/>
    <m/>
    <s v="HANIF"/>
    <m/>
    <s v="FLEXIBEL CHARGER (PAPAN KONEKTOR)"/>
    <m/>
    <s v="SAMSUNG"/>
    <m/>
    <s v="A14 5G"/>
    <m/>
    <s v="JASA71"/>
    <m/>
    <s v="JASA REPAIR"/>
    <m/>
    <n v="0"/>
    <m/>
    <n v="1"/>
    <m/>
    <n v="180000"/>
    <m/>
    <n v="180000"/>
    <m/>
    <m/>
    <m/>
    <s v="N/A"/>
  </r>
  <r>
    <m/>
    <x v="21"/>
    <m/>
    <s v="MF-FP.25189"/>
    <m/>
    <s v="MF-ST.22700"/>
    <m/>
    <d v="2026-05-15T00:00:00"/>
    <m/>
    <s v="Umum"/>
    <m/>
    <s v="C.13319"/>
    <m/>
    <s v="REHAN"/>
    <m/>
    <s v="WAHYU PRATAMA"/>
    <m/>
    <s v="SERVICE HANDPHONE"/>
    <m/>
    <x v="0"/>
    <m/>
    <s v="MUSTOFA"/>
    <m/>
    <x v="1"/>
    <m/>
    <s v="WAHYU PRATAMA"/>
    <m/>
    <s v="REPAIR"/>
    <m/>
    <s v="REALME"/>
    <m/>
    <s v="5 PRO"/>
    <m/>
    <s v="JASA71"/>
    <m/>
    <s v="JASA REPAIR"/>
    <m/>
    <n v="0"/>
    <m/>
    <n v="1"/>
    <m/>
    <n v="35000"/>
    <m/>
    <n v="35000"/>
    <m/>
    <m/>
    <m/>
    <s v="N/A"/>
  </r>
  <r>
    <m/>
    <x v="21"/>
    <m/>
    <s v="MF-FP.25189"/>
    <m/>
    <s v="MF-ST.22700"/>
    <m/>
    <d v="2026-05-15T00:00:00"/>
    <m/>
    <s v="Umum"/>
    <m/>
    <s v="C.13319"/>
    <m/>
    <s v="REHAN"/>
    <m/>
    <s v="WAHYU PRATAMA"/>
    <m/>
    <s v="SERVICE HANDPHONE"/>
    <m/>
    <x v="2"/>
    <m/>
    <s v="MUSTOFA"/>
    <m/>
    <x v="1"/>
    <m/>
    <s v="WAHYU PRATAMA"/>
    <m/>
    <s v="REPAIR"/>
    <m/>
    <s v="REALME"/>
    <m/>
    <s v="5 PRO"/>
    <m/>
    <s v="107200"/>
    <m/>
    <s v="LUNA DATA CABLE TYPE-C CB-2EC"/>
    <m/>
    <n v="9500"/>
    <m/>
    <n v="1"/>
    <m/>
    <n v="10000"/>
    <m/>
    <n v="10000"/>
    <m/>
    <m/>
    <m/>
    <s v="N/A"/>
  </r>
  <r>
    <m/>
    <x v="21"/>
    <m/>
    <s v="MF-FP.25192"/>
    <m/>
    <s v="MF-ST.22690"/>
    <m/>
    <d v="2026-05-13T00:00:00"/>
    <m/>
    <s v="Umum"/>
    <m/>
    <s v="C.13313"/>
    <m/>
    <s v="AISYAH"/>
    <m/>
    <s v="WAHYU PRATAMA"/>
    <m/>
    <s v="SERVICE HANDPHONE"/>
    <m/>
    <x v="2"/>
    <m/>
    <s v="YUVI NOFERIANTO"/>
    <m/>
    <x v="4"/>
    <m/>
    <s v="HANIF"/>
    <m/>
    <s v="FLEXIBEL CHARGER (PAPAN KONEKTOR)"/>
    <m/>
    <s v="SAMSUNG"/>
    <m/>
    <s v="A14 5G"/>
    <m/>
    <s v="107200"/>
    <m/>
    <s v="LUNA DATA CABLE TYPE-C CB-2EC"/>
    <m/>
    <n v="9500"/>
    <m/>
    <n v="1"/>
    <m/>
    <n v="20000"/>
    <m/>
    <n v="20000"/>
    <m/>
    <m/>
    <m/>
    <s v="N/A"/>
  </r>
  <r>
    <m/>
    <x v="21"/>
    <m/>
    <s v="MF-FP.25190"/>
    <m/>
    <s v="MF-ST.22631"/>
    <m/>
    <d v="2026-05-13T00:00:00"/>
    <m/>
    <s v="Umum"/>
    <m/>
    <s v="C.13282"/>
    <m/>
    <s v="JAFAR"/>
    <m/>
    <s v="HANIF"/>
    <m/>
    <s v="SERVICE HANDPHONE"/>
    <m/>
    <x v="2"/>
    <m/>
    <s v="YUVI NOFERIANTO"/>
    <m/>
    <x v="4"/>
    <m/>
    <s v="WAHYU PRATAMA"/>
    <m/>
    <s v="REPAIR"/>
    <m/>
    <s v="SAMSUNG"/>
    <m/>
    <s v="A54"/>
    <m/>
    <s v="107200"/>
    <m/>
    <s v="LUNA DATA CABLE TYPE-C CB-2EC"/>
    <m/>
    <n v="9500"/>
    <m/>
    <n v="1"/>
    <m/>
    <n v="10000"/>
    <m/>
    <n v="10000"/>
    <m/>
    <m/>
    <m/>
    <s v="N/A"/>
  </r>
  <r>
    <m/>
    <x v="21"/>
    <m/>
    <s v="MF-FP.25190"/>
    <m/>
    <s v="MF-ST.22631"/>
    <m/>
    <d v="2026-05-13T00:00:00"/>
    <m/>
    <s v="Umum"/>
    <m/>
    <s v="C.13282"/>
    <m/>
    <s v="JAFAR"/>
    <m/>
    <s v="HANIF"/>
    <m/>
    <s v="SERVICE HANDPHONE"/>
    <m/>
    <x v="0"/>
    <m/>
    <s v="YUVI NOFERIANTO"/>
    <m/>
    <x v="4"/>
    <m/>
    <s v="WAHYU PRATAMA"/>
    <m/>
    <s v="REPAIR"/>
    <m/>
    <s v="SAMSUNG"/>
    <m/>
    <s v="A54"/>
    <m/>
    <s v="JASA71"/>
    <m/>
    <s v="JASA REPAIR"/>
    <m/>
    <n v="0"/>
    <m/>
    <n v="1"/>
    <m/>
    <n v="340000"/>
    <m/>
    <n v="340000"/>
    <m/>
    <m/>
    <m/>
    <s v="N/A"/>
  </r>
  <r>
    <m/>
    <x v="21"/>
    <m/>
    <s v="MF-FP.25193"/>
    <m/>
    <m/>
    <m/>
    <m/>
    <m/>
    <m/>
    <m/>
    <s v="C.13321"/>
    <m/>
    <s v="ADAM"/>
    <m/>
    <m/>
    <m/>
    <s v="PENJUALAN AKSESORIS"/>
    <m/>
    <x v="2"/>
    <m/>
    <m/>
    <m/>
    <x v="5"/>
    <m/>
    <s v="HANIF"/>
    <m/>
    <m/>
    <m/>
    <m/>
    <m/>
    <m/>
    <m/>
    <s v="107156"/>
    <m/>
    <s v="ANKER 20W WALL CHARGER 2 PORT A2348L21 WHITE"/>
    <m/>
    <n v="89000"/>
    <m/>
    <n v="1"/>
    <m/>
    <n v="130000"/>
    <m/>
    <n v="130000"/>
    <m/>
    <m/>
    <m/>
    <s v="N/A"/>
  </r>
  <r>
    <m/>
    <x v="21"/>
    <m/>
    <s v="MF-FP.25195"/>
    <m/>
    <s v="MF-ST.21540"/>
    <m/>
    <d v="2026-04-01T00:00:00"/>
    <m/>
    <s v="Umum"/>
    <m/>
    <s v="C.00077"/>
    <m/>
    <s v="Pak Iqbal"/>
    <m/>
    <s v="WAHYU PRATAMA"/>
    <m/>
    <s v="SERVICE HANDPHONE"/>
    <m/>
    <x v="0"/>
    <m/>
    <s v="EKO RISDIYANTORO JATIMULYA"/>
    <m/>
    <x v="2"/>
    <m/>
    <s v="HANIF"/>
    <m/>
    <s v="LCD"/>
    <m/>
    <s v="INFINIX"/>
    <m/>
    <s v="NOTE 40"/>
    <m/>
    <s v="JASA71"/>
    <m/>
    <s v="JASA REPAIR"/>
    <m/>
    <n v="0"/>
    <m/>
    <n v="1"/>
    <m/>
    <n v="440000"/>
    <m/>
    <n v="440000"/>
    <m/>
    <m/>
    <m/>
    <s v="N/A"/>
  </r>
  <r>
    <m/>
    <x v="21"/>
    <m/>
    <s v="MF-FP.25197"/>
    <m/>
    <s v="MF-ST.22708"/>
    <m/>
    <d v="2026-05-15T00:00:00"/>
    <m/>
    <s v="Member Reguler"/>
    <m/>
    <s v="C.07178"/>
    <m/>
    <s v="CIKITA"/>
    <m/>
    <s v="HANIF"/>
    <m/>
    <s v="SERVICE HANDPHONE"/>
    <m/>
    <x v="0"/>
    <m/>
    <s v="EKO RISDIYANTORO JATIMULYA"/>
    <m/>
    <x v="2"/>
    <m/>
    <s v="HANIF"/>
    <m/>
    <s v="LCD"/>
    <m/>
    <s v="XIAOMI"/>
    <m/>
    <s v="REDMI NOTE 11"/>
    <m/>
    <s v="JASA71"/>
    <m/>
    <s v="JASA REPAIR"/>
    <m/>
    <n v="0"/>
    <m/>
    <n v="1"/>
    <m/>
    <n v="225000"/>
    <m/>
    <n v="225000"/>
    <m/>
    <s v="Achmad Indrawanto"/>
    <m/>
    <s v="N/A"/>
  </r>
  <r>
    <m/>
    <x v="21"/>
    <m/>
    <s v="MF-FP.25197"/>
    <m/>
    <s v="MF-ST.22708"/>
    <m/>
    <d v="2026-05-15T00:00:00"/>
    <m/>
    <s v="Member Reguler"/>
    <m/>
    <s v="C.07178"/>
    <m/>
    <s v="CIKITA"/>
    <m/>
    <s v="HANIF"/>
    <m/>
    <s v="SERVICE HANDPHONE"/>
    <m/>
    <x v="1"/>
    <m/>
    <s v="EKO RISDIYANTORO JATIMULYA"/>
    <m/>
    <x v="2"/>
    <m/>
    <s v="HANIF"/>
    <m/>
    <s v="LCD"/>
    <m/>
    <s v="XIAOMI"/>
    <m/>
    <s v="REDMI NOTE 11"/>
    <m/>
    <s v="101623"/>
    <m/>
    <s v="LCD.. XIO REDMI NOTE 11 4G/REDMI NOTE 11s/POCO M4 PRO 4G"/>
    <m/>
    <n v="151014.856669"/>
    <m/>
    <n v="1"/>
    <m/>
    <n v="200000"/>
    <m/>
    <n v="200000"/>
    <m/>
    <s v="Achmad Indrawanto"/>
    <m/>
    <s v="N/A"/>
  </r>
  <r>
    <m/>
    <x v="21"/>
    <m/>
    <s v="MF-FP.25197"/>
    <m/>
    <s v="MF-ST.22708"/>
    <m/>
    <d v="2026-05-15T00:00:00"/>
    <m/>
    <s v="Member Reguler"/>
    <m/>
    <s v="C.07178"/>
    <m/>
    <s v="CIKITA"/>
    <m/>
    <s v="HANIF"/>
    <m/>
    <s v="SERVICE HANDPHONE"/>
    <m/>
    <x v="2"/>
    <m/>
    <s v="EKO RISDIYANTORO JATIMULYA"/>
    <m/>
    <x v="2"/>
    <m/>
    <s v="HANIF"/>
    <m/>
    <s v="LCD"/>
    <m/>
    <s v="XIAOMI"/>
    <m/>
    <s v="REDMI NOTE 11"/>
    <m/>
    <s v="100025"/>
    <m/>
    <s v="VIVAN HYDROGEL BASIC CRYSTAL CLEAR VSP01T"/>
    <m/>
    <n v="11151.582562"/>
    <m/>
    <n v="1"/>
    <m/>
    <n v="75000"/>
    <m/>
    <n v="75000"/>
    <m/>
    <s v="Achmad Indrawanto"/>
    <m/>
    <s v="N/A"/>
  </r>
  <r>
    <m/>
    <x v="21"/>
    <m/>
    <s v="MF-FP.25196"/>
    <m/>
    <s v="MF-ST.22674"/>
    <m/>
    <d v="2026-05-14T00:00:00"/>
    <m/>
    <s v="Member Reguler"/>
    <m/>
    <s v="MJ0133"/>
    <m/>
    <s v="Pak Eko"/>
    <m/>
    <s v="HANIF"/>
    <m/>
    <s v="SERVICE HANDPHONE"/>
    <m/>
    <x v="0"/>
    <m/>
    <s v="MUSTOFA"/>
    <m/>
    <x v="1"/>
    <m/>
    <s v="HANIF"/>
    <m/>
    <s v="LCD"/>
    <m/>
    <s v="OPPO"/>
    <m/>
    <s v="Oppo reno 8z 5g"/>
    <m/>
    <s v="JASA71"/>
    <m/>
    <s v="JASA REPAIR"/>
    <m/>
    <n v="0"/>
    <m/>
    <n v="1"/>
    <m/>
    <n v="450000"/>
    <m/>
    <n v="450000"/>
    <m/>
    <s v="TEGAR PUTRA YANSA SALES"/>
    <m/>
    <s v="N/A"/>
  </r>
  <r>
    <m/>
    <x v="21"/>
    <m/>
    <s v="MF-FP.25196"/>
    <m/>
    <s v="MF-ST.22674"/>
    <m/>
    <d v="2026-05-14T00:00:00"/>
    <m/>
    <s v="Member Reguler"/>
    <m/>
    <s v="MJ0133"/>
    <m/>
    <s v="Pak Eko"/>
    <m/>
    <s v="HANIF"/>
    <m/>
    <s v="SERVICE HANDPHONE"/>
    <m/>
    <x v="1"/>
    <m/>
    <s v="MUSTOFA"/>
    <m/>
    <x v="1"/>
    <m/>
    <s v="HANIF"/>
    <m/>
    <s v="LCD"/>
    <m/>
    <s v="OPPO"/>
    <m/>
    <s v="Oppo reno 8z 5g"/>
    <m/>
    <s v="100349"/>
    <m/>
    <s v="LCD.. OPP A74 4G/A95/A96/RENO 5F/RLM 8 4G/RLM 8 PRO/RLM 7 PRO/RENO 8Z B FST"/>
    <m/>
    <n v="135384.25795999999"/>
    <m/>
    <n v="1"/>
    <m/>
    <n v="230000"/>
    <m/>
    <n v="230000"/>
    <m/>
    <s v="TEGAR PUTRA YANSA SALES"/>
    <m/>
    <s v="N/A"/>
  </r>
  <r>
    <m/>
    <x v="21"/>
    <m/>
    <s v="MF-FP.25196"/>
    <m/>
    <s v="MF-ST.22674"/>
    <m/>
    <d v="2026-05-14T00:00:00"/>
    <m/>
    <s v="Member Reguler"/>
    <m/>
    <s v="MJ0133"/>
    <m/>
    <s v="Pak Eko"/>
    <m/>
    <s v="HANIF"/>
    <m/>
    <s v="SERVICE HANDPHONE"/>
    <m/>
    <x v="2"/>
    <m/>
    <s v="MUSTOFA"/>
    <m/>
    <x v="1"/>
    <m/>
    <s v="HANIF"/>
    <m/>
    <s v="LCD"/>
    <m/>
    <s v="OPPO"/>
    <m/>
    <s v="Oppo reno 8z 5g"/>
    <m/>
    <s v="107200"/>
    <m/>
    <s v="LUNA DATA CABLE TYPE-C CB-2EC"/>
    <m/>
    <n v="9500"/>
    <m/>
    <n v="1"/>
    <m/>
    <n v="20000"/>
    <m/>
    <n v="20000"/>
    <m/>
    <s v="TEGAR PUTRA YANSA SALES"/>
    <m/>
    <s v="N/A"/>
  </r>
  <r>
    <m/>
    <x v="21"/>
    <m/>
    <s v="MF-FP.25199"/>
    <m/>
    <s v="MF-ST.22710"/>
    <m/>
    <d v="2026-05-15T00:00:00"/>
    <m/>
    <s v="Umum"/>
    <m/>
    <s v="C.13323"/>
    <m/>
    <s v="SITI MARYAM"/>
    <m/>
    <s v="HANIF"/>
    <m/>
    <s v="SERVICE HANDPHONE"/>
    <m/>
    <x v="0"/>
    <m/>
    <s v="EKO RISDIYANTORO JATIMULYA"/>
    <m/>
    <x v="2"/>
    <m/>
    <s v="HANIF"/>
    <m/>
    <s v="SOFTWARE"/>
    <m/>
    <s v="OPPO"/>
    <m/>
    <s v="A3X"/>
    <m/>
    <s v="JASA71"/>
    <m/>
    <s v="JASA REPAIR"/>
    <m/>
    <n v="0"/>
    <m/>
    <n v="1"/>
    <m/>
    <n v="130000"/>
    <m/>
    <n v="130000"/>
    <m/>
    <m/>
    <m/>
    <s v="N/A"/>
  </r>
  <r>
    <m/>
    <x v="21"/>
    <m/>
    <s v="MF-FP.25198"/>
    <m/>
    <s v="MF-ST.22705"/>
    <m/>
    <d v="2026-05-15T00:00:00"/>
    <m/>
    <s v="Umum"/>
    <m/>
    <s v="C.13322"/>
    <m/>
    <s v="TASURI"/>
    <m/>
    <s v="HANIF"/>
    <m/>
    <s v="SERVICE HANDPHONE"/>
    <m/>
    <x v="0"/>
    <m/>
    <s v="EKO RISDIYANTORO JATIMULYA"/>
    <m/>
    <x v="2"/>
    <m/>
    <s v="HANIF"/>
    <m/>
    <s v="SOFTWARE"/>
    <m/>
    <s v="INFINIX"/>
    <m/>
    <s v="infinix hot 8"/>
    <m/>
    <s v="JASA71"/>
    <m/>
    <s v="JASA REPAIR"/>
    <m/>
    <n v="0"/>
    <m/>
    <n v="1"/>
    <m/>
    <n v="130000"/>
    <m/>
    <n v="130000"/>
    <m/>
    <m/>
    <m/>
    <s v="N/A"/>
  </r>
  <r>
    <m/>
    <x v="21"/>
    <m/>
    <s v="MF-FP.25198"/>
    <m/>
    <s v="MF-ST.22705"/>
    <m/>
    <d v="2026-05-15T00:00:00"/>
    <m/>
    <s v="Umum"/>
    <m/>
    <s v="C.13322"/>
    <m/>
    <s v="TASURI"/>
    <m/>
    <s v="HANIF"/>
    <m/>
    <s v="SERVICE HANDPHONE"/>
    <m/>
    <x v="2"/>
    <m/>
    <s v="EKO RISDIYANTORO JATIMULYA"/>
    <m/>
    <x v="2"/>
    <m/>
    <s v="HANIF"/>
    <m/>
    <s v="SOFTWARE"/>
    <m/>
    <s v="INFINIX"/>
    <m/>
    <s v="infinix hot 8"/>
    <m/>
    <s v="107200"/>
    <m/>
    <s v="LUNA DATA CABLE TYPE-C CB-2EC"/>
    <m/>
    <n v="9500"/>
    <m/>
    <n v="1"/>
    <m/>
    <n v="20000"/>
    <m/>
    <n v="20000"/>
    <m/>
    <m/>
    <m/>
    <s v="N/A"/>
  </r>
  <r>
    <m/>
    <x v="21"/>
    <m/>
    <s v="MF-FP.25204"/>
    <m/>
    <s v="MF-ST.22713"/>
    <m/>
    <d v="2026-05-15T00:00:00"/>
    <m/>
    <s v="Umum"/>
    <m/>
    <s v="C.13324"/>
    <m/>
    <s v="RAFA"/>
    <m/>
    <s v="HANIF"/>
    <m/>
    <s v="SERVICE HANDPHONE"/>
    <m/>
    <x v="0"/>
    <m/>
    <s v="EKO RISDIYANTORO JATIMULYA"/>
    <m/>
    <x v="2"/>
    <m/>
    <s v="HANIF"/>
    <m/>
    <s v="REPAIR"/>
    <m/>
    <s v="APPLE"/>
    <m/>
    <s v="11"/>
    <m/>
    <s v="JASA71"/>
    <m/>
    <s v="JASA REPAIR"/>
    <m/>
    <n v="0"/>
    <m/>
    <n v="1"/>
    <m/>
    <n v="155000"/>
    <m/>
    <n v="155000"/>
    <m/>
    <m/>
    <m/>
    <s v="N/A"/>
  </r>
  <r>
    <m/>
    <x v="21"/>
    <m/>
    <s v="MF-FP.25204"/>
    <m/>
    <s v="MF-ST.22713"/>
    <m/>
    <d v="2026-05-15T00:00:00"/>
    <m/>
    <s v="Umum"/>
    <m/>
    <s v="C.13324"/>
    <m/>
    <s v="RAFA"/>
    <m/>
    <s v="HANIF"/>
    <m/>
    <s v="SERVICE HANDPHONE"/>
    <m/>
    <x v="2"/>
    <m/>
    <s v="EKO RISDIYANTORO JATIMULYA"/>
    <m/>
    <x v="2"/>
    <m/>
    <s v="HANIF"/>
    <m/>
    <s v="REPAIR"/>
    <m/>
    <s v="APPLE"/>
    <m/>
    <s v="11"/>
    <m/>
    <s v="107200"/>
    <m/>
    <s v="LUNA DATA CABLE TYPE-C CB-2EC"/>
    <m/>
    <n v="9500"/>
    <m/>
    <n v="1"/>
    <m/>
    <n v="20000"/>
    <m/>
    <n v="20000"/>
    <m/>
    <m/>
    <m/>
    <s v="N/A"/>
  </r>
  <r>
    <m/>
    <x v="21"/>
    <m/>
    <s v="MF-FP.25199"/>
    <m/>
    <s v="MF-ST.22710"/>
    <m/>
    <d v="2026-05-15T00:00:00"/>
    <m/>
    <s v="Umum"/>
    <m/>
    <s v="C.13323"/>
    <m/>
    <s v="SITI MARYAM"/>
    <m/>
    <s v="HANIF"/>
    <m/>
    <s v="SERVICE HANDPHONE"/>
    <m/>
    <x v="2"/>
    <m/>
    <s v="EKO RISDIYANTORO JATIMULYA"/>
    <m/>
    <x v="2"/>
    <m/>
    <s v="HANIF"/>
    <m/>
    <s v="SOFTWARE"/>
    <m/>
    <s v="OPPO"/>
    <m/>
    <s v="A3X"/>
    <m/>
    <s v="107200"/>
    <m/>
    <s v="LUNA DATA CABLE TYPE-C CB-2EC"/>
    <m/>
    <n v="9500"/>
    <m/>
    <n v="1"/>
    <m/>
    <n v="20000"/>
    <m/>
    <n v="20000"/>
    <m/>
    <m/>
    <m/>
    <s v="N/A"/>
  </r>
  <r>
    <m/>
    <x v="21"/>
    <m/>
    <s v="MF-FP.25202"/>
    <m/>
    <s v="MF-ST.22711"/>
    <m/>
    <d v="2026-05-15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21"/>
    <m/>
    <s v="MF-FP.25203"/>
    <m/>
    <s v="MF-ST.22712"/>
    <m/>
    <d v="2026-05-15T00:00:00"/>
    <m/>
    <s v="Umum"/>
    <m/>
    <s v="C.08470"/>
    <m/>
    <s v="IBU RESI RATNASARI"/>
    <m/>
    <s v="HANIF"/>
    <m/>
    <s v="SERVICE HANDPHONE"/>
    <m/>
    <x v="2"/>
    <m/>
    <s v="EKO RISDIYANTORO JATIMULYA"/>
    <m/>
    <x v="2"/>
    <m/>
    <s v="HANIF"/>
    <m/>
    <s v="REPAIR"/>
    <m/>
    <s v="XIAOMI"/>
    <m/>
    <s v="mi note 10"/>
    <m/>
    <s v="107200"/>
    <m/>
    <s v="LUNA DATA CABLE TYPE-C CB-2EC"/>
    <m/>
    <n v="9500"/>
    <m/>
    <n v="1"/>
    <m/>
    <n v="20000"/>
    <m/>
    <n v="20000"/>
    <m/>
    <m/>
    <m/>
    <s v="N/A"/>
  </r>
  <r>
    <m/>
    <x v="21"/>
    <m/>
    <s v="MF-FP.25200"/>
    <m/>
    <s v="MF-ST.22623"/>
    <m/>
    <d v="2026-05-12T00:00:00"/>
    <m/>
    <s v="Member Reguler"/>
    <m/>
    <s v="C.13277"/>
    <m/>
    <s v="BEBY"/>
    <m/>
    <s v="RIZKI RAMDHAN"/>
    <m/>
    <s v="SERVICE HANDPHONE"/>
    <m/>
    <x v="0"/>
    <m/>
    <s v="EKO RISDIYANTORO JATIMULYA"/>
    <m/>
    <x v="3"/>
    <m/>
    <s v="HANIF"/>
    <m/>
    <s v="BATERAI"/>
    <m/>
    <s v="SAMSUNG"/>
    <m/>
    <s v="Samsung S21 fe"/>
    <m/>
    <s v="JASA71"/>
    <m/>
    <s v="JASA REPAIR"/>
    <m/>
    <n v="0"/>
    <m/>
    <n v="1"/>
    <m/>
    <n v="240000"/>
    <m/>
    <n v="240000"/>
    <m/>
    <s v="RIZKI RAMDHAN"/>
    <m/>
    <s v="N/A"/>
  </r>
  <r>
    <m/>
    <x v="21"/>
    <m/>
    <s v="MF-FP.25200"/>
    <m/>
    <s v="MF-ST.22623"/>
    <m/>
    <d v="2026-05-12T00:00:00"/>
    <m/>
    <s v="Member Reguler"/>
    <m/>
    <s v="C.13277"/>
    <m/>
    <s v="BEBY"/>
    <m/>
    <s v="RIZKI RAMDHAN"/>
    <m/>
    <s v="SERVICE HANDPHONE"/>
    <m/>
    <x v="1"/>
    <m/>
    <s v="EKO RISDIYANTORO JATIMULYA"/>
    <m/>
    <x v="3"/>
    <m/>
    <s v="HANIF"/>
    <m/>
    <s v="BATERAI"/>
    <m/>
    <s v="SAMSUNG"/>
    <m/>
    <s v="Samsung S21 fe"/>
    <m/>
    <s v="107272"/>
    <m/>
    <s v="BATER SAM S21 FE ORI"/>
    <m/>
    <n v="189969.23076899999"/>
    <m/>
    <n v="1"/>
    <m/>
    <n v="240000"/>
    <m/>
    <n v="240000"/>
    <m/>
    <s v="RIZKI RAMDHAN"/>
    <m/>
    <s v="N/A"/>
  </r>
  <r>
    <m/>
    <x v="21"/>
    <m/>
    <s v="MF-FP.25200"/>
    <m/>
    <s v="MF-ST.22623"/>
    <m/>
    <d v="2026-05-12T00:00:00"/>
    <m/>
    <s v="Member Reguler"/>
    <m/>
    <s v="C.13277"/>
    <m/>
    <s v="BEBY"/>
    <m/>
    <s v="RIZKI RAMDHAN"/>
    <m/>
    <s v="SERVICE HANDPHONE"/>
    <m/>
    <x v="2"/>
    <m/>
    <s v="EKO RISDIYANTORO JATIMULYA"/>
    <m/>
    <x v="3"/>
    <m/>
    <s v="HANIF"/>
    <m/>
    <s v="BATERAI"/>
    <m/>
    <s v="SAMSUNG"/>
    <m/>
    <s v="Samsung S21 fe"/>
    <m/>
    <s v="107200"/>
    <m/>
    <s v="LUNA DATA CABLE TYPE-C CB-2EC"/>
    <m/>
    <n v="9500"/>
    <m/>
    <n v="1"/>
    <m/>
    <n v="20000"/>
    <m/>
    <n v="20000"/>
    <m/>
    <s v="RIZKI RAMDHAN"/>
    <m/>
    <s v="N/A"/>
  </r>
  <r>
    <m/>
    <x v="21"/>
    <m/>
    <s v="MF-FP.25203"/>
    <m/>
    <s v="MF-ST.22712"/>
    <m/>
    <d v="2026-05-15T00:00:00"/>
    <m/>
    <s v="Umum"/>
    <m/>
    <s v="C.08470"/>
    <m/>
    <s v="IBU RESI RATNASARI"/>
    <m/>
    <s v="HANIF"/>
    <m/>
    <s v="SERVICE HANDPHONE"/>
    <m/>
    <x v="0"/>
    <m/>
    <s v="EKO RISDIYANTORO JATIMULYA"/>
    <m/>
    <x v="2"/>
    <m/>
    <s v="HANIF"/>
    <m/>
    <s v="REPAIR"/>
    <m/>
    <s v="XIAOMI"/>
    <m/>
    <s v="mi note 10"/>
    <m/>
    <s v="JASA71"/>
    <m/>
    <s v="JASA REPAIR"/>
    <m/>
    <n v="0"/>
    <m/>
    <n v="1"/>
    <m/>
    <n v="105000"/>
    <m/>
    <n v="105000"/>
    <m/>
    <m/>
    <m/>
    <s v="N/A"/>
  </r>
  <r>
    <m/>
    <x v="22"/>
    <m/>
    <s v="MF-FP.25205"/>
    <m/>
    <s v="MF-ST.22718"/>
    <m/>
    <d v="2026-05-16T00:00:00"/>
    <m/>
    <s v="Umum"/>
    <m/>
    <s v="C.13325"/>
    <m/>
    <s v="HARIYADI"/>
    <m/>
    <s v="WAHYU PRATAMA"/>
    <m/>
    <s v="PENJUALAN AKSESORIS"/>
    <m/>
    <x v="2"/>
    <m/>
    <s v="N/A"/>
    <m/>
    <x v="5"/>
    <m/>
    <s v="WAHYU PRATAMA"/>
    <m/>
    <s v="REPAIR"/>
    <m/>
    <s v="SAMSUNG"/>
    <m/>
    <s v="SAM"/>
    <m/>
    <s v="103844"/>
    <m/>
    <s v="REBORN HEADSET JACK TYPE C BASS AUDIO 120CM B/W RE-02C"/>
    <m/>
    <n v="30000"/>
    <m/>
    <n v="1"/>
    <m/>
    <n v="65000"/>
    <m/>
    <n v="65000"/>
    <m/>
    <m/>
    <m/>
    <s v="N/A"/>
  </r>
  <r>
    <m/>
    <x v="22"/>
    <m/>
    <s v="MF-FP.25206"/>
    <m/>
    <s v="MF-ST.22698"/>
    <m/>
    <d v="2026-05-15T00:00:00"/>
    <m/>
    <s v="Umum"/>
    <m/>
    <s v="C.13317"/>
    <m/>
    <s v="SUNARTO"/>
    <m/>
    <s v="WAHYU PRATAMA"/>
    <m/>
    <s v="SERVICE HANDPHONE"/>
    <m/>
    <x v="0"/>
    <m/>
    <s v="EKO RISDIYANTORO JATIMULYA"/>
    <m/>
    <x v="2"/>
    <m/>
    <s v="WAHYU PRATAMA"/>
    <m/>
    <s v="SOFTWARE"/>
    <m/>
    <s v="REALME"/>
    <m/>
    <s v="5 PRO"/>
    <m/>
    <s v="JASA71"/>
    <m/>
    <s v="JASA REPAIR"/>
    <m/>
    <n v="0"/>
    <m/>
    <n v="1"/>
    <m/>
    <n v="190000"/>
    <m/>
    <n v="190000"/>
    <m/>
    <m/>
    <m/>
    <s v="N/A"/>
  </r>
  <r>
    <m/>
    <x v="22"/>
    <m/>
    <s v="MF-FP.25206"/>
    <m/>
    <s v="MF-ST.22698"/>
    <m/>
    <d v="2026-05-15T00:00:00"/>
    <m/>
    <s v="Umum"/>
    <m/>
    <s v="C.13317"/>
    <m/>
    <s v="SUNARTO"/>
    <m/>
    <s v="WAHYU PRATAMA"/>
    <m/>
    <s v="SERVICE HANDPHONE"/>
    <m/>
    <x v="2"/>
    <m/>
    <s v="EKO RISDIYANTORO JATIMULYA"/>
    <m/>
    <x v="2"/>
    <m/>
    <s v="WAHYU PRATAMA"/>
    <m/>
    <s v="SOFTWARE"/>
    <m/>
    <s v="REALME"/>
    <m/>
    <s v="5 PRO"/>
    <m/>
    <s v="107200"/>
    <m/>
    <s v="LUNA DATA CABLE TYPE-C CB-2EC"/>
    <m/>
    <n v="9500"/>
    <m/>
    <n v="1"/>
    <m/>
    <n v="10000"/>
    <m/>
    <n v="10000"/>
    <m/>
    <m/>
    <m/>
    <s v="N/A"/>
  </r>
  <r>
    <m/>
    <x v="22"/>
    <m/>
    <s v="MF-FP.25207"/>
    <m/>
    <s v="MF-ST.22724"/>
    <m/>
    <d v="2026-05-16T00:00:00"/>
    <m/>
    <s v="Umum"/>
    <m/>
    <s v="C.13328"/>
    <m/>
    <s v="NANDA"/>
    <m/>
    <s v="WAHYU PRATAMA"/>
    <m/>
    <s v="SERVICE HANDPHONE"/>
    <m/>
    <x v="0"/>
    <m/>
    <s v="EKO RISDIYANTORO JATIMULYA"/>
    <m/>
    <x v="2"/>
    <m/>
    <s v="WAHYU PRATAMA"/>
    <m/>
    <s v="LCD"/>
    <m/>
    <s v="SAMSUNG"/>
    <m/>
    <s v="A31"/>
    <m/>
    <s v="JASA71"/>
    <m/>
    <s v="JASA REPAIR"/>
    <m/>
    <n v="0"/>
    <m/>
    <n v="1"/>
    <m/>
    <n v="375000"/>
    <m/>
    <n v="375000"/>
    <m/>
    <m/>
    <m/>
    <s v="N/A"/>
  </r>
  <r>
    <m/>
    <x v="22"/>
    <m/>
    <s v="MF-FP.25207"/>
    <m/>
    <s v="MF-ST.22724"/>
    <m/>
    <d v="2026-05-16T00:00:00"/>
    <m/>
    <s v="Umum"/>
    <m/>
    <s v="C.13328"/>
    <m/>
    <s v="NANDA"/>
    <m/>
    <s v="WAHYU PRATAMA"/>
    <m/>
    <s v="SERVICE HANDPHONE"/>
    <m/>
    <x v="1"/>
    <m/>
    <s v="EKO RISDIYANTORO JATIMULYA"/>
    <m/>
    <x v="2"/>
    <m/>
    <s v="WAHYU PRATAMA"/>
    <m/>
    <s v="LCD"/>
    <m/>
    <s v="SAMSUNG"/>
    <m/>
    <s v="A31"/>
    <m/>
    <s v="101636"/>
    <m/>
    <s v="LCD.. SAM A31 B OLED"/>
    <m/>
    <n v="337493.79652600002"/>
    <m/>
    <n v="1"/>
    <m/>
    <n v="440000"/>
    <m/>
    <n v="440000"/>
    <m/>
    <m/>
    <m/>
    <s v="N/A"/>
  </r>
  <r>
    <m/>
    <x v="22"/>
    <m/>
    <s v="MF-FP.25207"/>
    <m/>
    <s v="MF-ST.22724"/>
    <m/>
    <d v="2026-05-16T00:00:00"/>
    <m/>
    <s v="Umum"/>
    <m/>
    <s v="C.13328"/>
    <m/>
    <s v="NANDA"/>
    <m/>
    <s v="WAHYU PRATAMA"/>
    <m/>
    <s v="SERVICE HANDPHONE"/>
    <m/>
    <x v="2"/>
    <m/>
    <s v="EKO RISDIYANTORO JATIMULYA"/>
    <m/>
    <x v="2"/>
    <m/>
    <s v="WAHYU PRATAMA"/>
    <m/>
    <s v="LCD"/>
    <m/>
    <s v="SAMSUNG"/>
    <m/>
    <s v="A31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22"/>
    <m/>
    <s v="MF-FP.25207"/>
    <m/>
    <s v="MF-ST.22724"/>
    <m/>
    <d v="2026-05-16T00:00:00"/>
    <m/>
    <s v="Umum"/>
    <m/>
    <s v="C.13328"/>
    <m/>
    <s v="NANDA"/>
    <m/>
    <s v="WAHYU PRATAMA"/>
    <m/>
    <s v="SERVICE HANDPHONE"/>
    <m/>
    <x v="2"/>
    <m/>
    <s v="EKO RISDIYANTORO JATIMULYA"/>
    <m/>
    <x v="2"/>
    <m/>
    <s v="WAHYU PRATAMA"/>
    <m/>
    <s v="LCD"/>
    <m/>
    <s v="SAMSUNG"/>
    <m/>
    <s v="A31"/>
    <m/>
    <s v="107200"/>
    <m/>
    <s v="LUNA DATA CABLE TYPE-C CB-2EC"/>
    <m/>
    <n v="9500"/>
    <m/>
    <n v="1"/>
    <m/>
    <n v="10000"/>
    <m/>
    <n v="10000"/>
    <m/>
    <m/>
    <m/>
    <s v="N/A"/>
  </r>
  <r>
    <m/>
    <x v="22"/>
    <m/>
    <s v="MF-FP.25213"/>
    <m/>
    <s v="MF-ST.22729"/>
    <m/>
    <d v="2026-05-16T00:00:00"/>
    <m/>
    <s v="Umum"/>
    <m/>
    <s v="C.13332"/>
    <m/>
    <s v="DIMAS"/>
    <m/>
    <s v="WAHYU PRATAMA"/>
    <m/>
    <s v="SERVICE HANDPHONE"/>
    <m/>
    <x v="0"/>
    <m/>
    <s v="EKO RISDIYANTORO JATIMULYA"/>
    <m/>
    <x v="2"/>
    <m/>
    <s v="WAHYU PRATAMA"/>
    <m/>
    <s v="LCD"/>
    <m/>
    <s v="XIAOMI"/>
    <m/>
    <s v="NOTE 10 PRO"/>
    <m/>
    <s v="JASA71"/>
    <m/>
    <s v="JASA REPAIR"/>
    <m/>
    <n v="0"/>
    <m/>
    <n v="1"/>
    <m/>
    <n v="235000"/>
    <m/>
    <n v="235000"/>
    <m/>
    <m/>
    <m/>
    <s v="N/A"/>
  </r>
  <r>
    <m/>
    <x v="22"/>
    <m/>
    <s v="MF-FP.25213"/>
    <m/>
    <s v="MF-ST.22729"/>
    <m/>
    <d v="2026-05-16T00:00:00"/>
    <m/>
    <s v="Umum"/>
    <m/>
    <s v="C.13332"/>
    <m/>
    <s v="DIMAS"/>
    <m/>
    <s v="WAHYU PRATAMA"/>
    <m/>
    <s v="SERVICE HANDPHONE"/>
    <m/>
    <x v="1"/>
    <m/>
    <s v="EKO RISDIYANTORO JATIMULYA"/>
    <m/>
    <x v="2"/>
    <m/>
    <s v="WAHYU PRATAMA"/>
    <m/>
    <s v="LCD"/>
    <m/>
    <s v="XIAOMI"/>
    <m/>
    <s v="NOTE 10 PRO"/>
    <m/>
    <s v="100190"/>
    <m/>
    <s v="LCD.. XIO REDMI NOTE 10 PRO 4G/NOTE 11 PRO 4G/5G/POCO X4 PRO 5G/NOTE 12 PRO 4G B"/>
    <m/>
    <n v="165260.444445"/>
    <m/>
    <n v="1"/>
    <m/>
    <n v="230000"/>
    <m/>
    <n v="230000"/>
    <m/>
    <m/>
    <m/>
    <s v="N/A"/>
  </r>
  <r>
    <m/>
    <x v="22"/>
    <m/>
    <s v="MF-FP.25213"/>
    <m/>
    <s v="MF-ST.22729"/>
    <m/>
    <d v="2026-05-16T00:00:00"/>
    <m/>
    <s v="Umum"/>
    <m/>
    <s v="C.13332"/>
    <m/>
    <s v="DIMAS"/>
    <m/>
    <s v="WAHYU PRATAMA"/>
    <m/>
    <s v="SERVICE HANDPHONE"/>
    <m/>
    <x v="1"/>
    <m/>
    <s v="EKO RISDIYANTORO JATIMULYA"/>
    <m/>
    <x v="2"/>
    <m/>
    <s v="WAHYU PRATAMA"/>
    <m/>
    <s v="LCD"/>
    <m/>
    <s v="XIAOMI"/>
    <m/>
    <s v="NOTE 10 PRO"/>
    <m/>
    <s v="102170"/>
    <m/>
    <s v="PERNIK TBL VLM XIO REDMI NOTE 10 PRO"/>
    <m/>
    <n v="10074.189294"/>
    <m/>
    <n v="1"/>
    <m/>
    <n v="10000"/>
    <m/>
    <n v="10000"/>
    <m/>
    <m/>
    <m/>
    <s v="N/A"/>
  </r>
  <r>
    <m/>
    <x v="22"/>
    <m/>
    <s v="MF-FP.25213"/>
    <m/>
    <s v="MF-ST.22729"/>
    <m/>
    <d v="2026-05-16T00:00:00"/>
    <m/>
    <s v="Umum"/>
    <m/>
    <s v="C.13332"/>
    <m/>
    <s v="DIMAS"/>
    <m/>
    <s v="WAHYU PRATAMA"/>
    <m/>
    <s v="SERVICE HANDPHONE"/>
    <m/>
    <x v="2"/>
    <m/>
    <s v="EKO RISDIYANTORO JATIMULYA"/>
    <m/>
    <x v="2"/>
    <m/>
    <s v="WAHYU PRATAMA"/>
    <m/>
    <s v="LCD"/>
    <m/>
    <s v="XIAOMI"/>
    <m/>
    <s v="NOTE 10 PRO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22"/>
    <m/>
    <s v="MF-FP.25213"/>
    <m/>
    <s v="MF-ST.22729"/>
    <m/>
    <d v="2026-05-16T00:00:00"/>
    <m/>
    <s v="Umum"/>
    <m/>
    <s v="C.13332"/>
    <m/>
    <s v="DIMAS"/>
    <m/>
    <s v="WAHYU PRATAMA"/>
    <m/>
    <s v="SERVICE HANDPHONE"/>
    <m/>
    <x v="2"/>
    <m/>
    <s v="EKO RISDIYANTORO JATIMULYA"/>
    <m/>
    <x v="2"/>
    <m/>
    <s v="WAHYU PRATAMA"/>
    <m/>
    <s v="LCD"/>
    <m/>
    <s v="XIAOMI"/>
    <m/>
    <s v="NOTE 10 PRO"/>
    <m/>
    <s v="107200"/>
    <m/>
    <s v="LUNA DATA CABLE TYPE-C CB-2EC"/>
    <m/>
    <n v="9500"/>
    <m/>
    <n v="1"/>
    <m/>
    <n v="10000"/>
    <m/>
    <n v="10000"/>
    <m/>
    <m/>
    <m/>
    <s v="N/A"/>
  </r>
  <r>
    <m/>
    <x v="22"/>
    <m/>
    <s v="MF-FP.25222"/>
    <m/>
    <s v="MF-ST.22678"/>
    <m/>
    <d v="2026-05-14T00:00:00"/>
    <m/>
    <s v="Member Reguler"/>
    <m/>
    <s v="MJ0766"/>
    <m/>
    <s v="Malik"/>
    <m/>
    <s v="HANIF"/>
    <m/>
    <s v="SERVICE HANDPHONE"/>
    <m/>
    <x v="0"/>
    <m/>
    <s v="EKO RISDIYANTORO JATIMULYA"/>
    <m/>
    <x v="2"/>
    <m/>
    <s v="HANIF"/>
    <m/>
    <s v="BATERAI"/>
    <m/>
    <s v="SAMSUNG"/>
    <m/>
    <s v="S22"/>
    <m/>
    <s v="JASA71"/>
    <m/>
    <s v="JASA REPAIR"/>
    <m/>
    <n v="0"/>
    <m/>
    <n v="1"/>
    <m/>
    <n v="270000"/>
    <m/>
    <n v="270000"/>
    <m/>
    <s v="TEGAR PUTRA YANSA SALES"/>
    <m/>
    <s v="N/A"/>
  </r>
  <r>
    <m/>
    <x v="22"/>
    <m/>
    <s v="MF-FP.25218"/>
    <m/>
    <s v="MF-ST.22735"/>
    <m/>
    <d v="2026-05-16T00:00:00"/>
    <m/>
    <s v="Umum"/>
    <m/>
    <s v="C.13335"/>
    <m/>
    <s v="GALIH"/>
    <m/>
    <s v="HANIF"/>
    <m/>
    <s v="SERVICE HANDPHONE"/>
    <m/>
    <x v="0"/>
    <m/>
    <s v="EKO RISDIYANTORO JATIMULYA"/>
    <m/>
    <x v="2"/>
    <m/>
    <s v="HANIF"/>
    <m/>
    <s v="BATERAI"/>
    <m/>
    <s v="XIAOMI"/>
    <m/>
    <s v="redmi note 10 pro"/>
    <m/>
    <s v="JASA71"/>
    <m/>
    <s v="JASA REPAIR"/>
    <m/>
    <n v="0"/>
    <m/>
    <n v="1"/>
    <m/>
    <n v="190000"/>
    <m/>
    <n v="190000"/>
    <m/>
    <m/>
    <m/>
    <s v="N/A"/>
  </r>
  <r>
    <m/>
    <x v="22"/>
    <m/>
    <s v="MF-FP.25218"/>
    <m/>
    <s v="MF-ST.22735"/>
    <m/>
    <d v="2026-05-16T00:00:00"/>
    <m/>
    <s v="Umum"/>
    <m/>
    <s v="C.13335"/>
    <m/>
    <s v="GALIH"/>
    <m/>
    <s v="HANIF"/>
    <m/>
    <s v="SERVICE HANDPHONE"/>
    <m/>
    <x v="1"/>
    <m/>
    <s v="EKO RISDIYANTORO JATIMULYA"/>
    <m/>
    <x v="2"/>
    <m/>
    <s v="HANIF"/>
    <m/>
    <s v="BATERAI"/>
    <m/>
    <s v="XIAOMI"/>
    <m/>
    <s v="redmi note 10 pro"/>
    <m/>
    <s v="100180"/>
    <m/>
    <s v="BATER XIO REDMI NOTE 9 PRO/NOTE 10 PRO BN53"/>
    <m/>
    <n v="108142.386445"/>
    <m/>
    <n v="1"/>
    <m/>
    <n v="140000"/>
    <m/>
    <n v="140000"/>
    <m/>
    <m/>
    <m/>
    <s v="N/A"/>
  </r>
  <r>
    <m/>
    <x v="22"/>
    <m/>
    <s v="MF-FP.25218"/>
    <m/>
    <s v="MF-ST.22735"/>
    <m/>
    <d v="2026-05-16T00:00:00"/>
    <m/>
    <s v="Umum"/>
    <m/>
    <s v="C.13335"/>
    <m/>
    <s v="GALIH"/>
    <m/>
    <s v="HANIF"/>
    <m/>
    <s v="SERVICE HANDPHONE"/>
    <m/>
    <x v="2"/>
    <m/>
    <s v="EKO RISDIYANTORO JATIMULYA"/>
    <m/>
    <x v="2"/>
    <m/>
    <s v="HANIF"/>
    <m/>
    <s v="BATERAI"/>
    <m/>
    <s v="XIAOMI"/>
    <m/>
    <s v="redmi note 10 pro"/>
    <m/>
    <s v="107200"/>
    <m/>
    <s v="LUNA DATA CABLE TYPE-C CB-2EC"/>
    <m/>
    <n v="9500"/>
    <m/>
    <n v="1"/>
    <m/>
    <n v="20000"/>
    <m/>
    <n v="20000"/>
    <m/>
    <m/>
    <m/>
    <s v="N/A"/>
  </r>
  <r>
    <m/>
    <x v="22"/>
    <m/>
    <s v="MF-FP.25222"/>
    <m/>
    <s v="MF-ST.22678"/>
    <m/>
    <d v="2026-05-14T00:00:00"/>
    <m/>
    <s v="Member Reguler"/>
    <m/>
    <s v="MJ0766"/>
    <m/>
    <s v="Malik"/>
    <m/>
    <s v="HANIF"/>
    <m/>
    <s v="SERVICE HANDPHONE"/>
    <m/>
    <x v="1"/>
    <m/>
    <s v="EKO RISDIYANTORO JATIMULYA"/>
    <m/>
    <x v="2"/>
    <m/>
    <s v="HANIF"/>
    <m/>
    <s v="BATERAI"/>
    <m/>
    <s v="SAMSUNG"/>
    <m/>
    <s v="S22"/>
    <m/>
    <s v="107122"/>
    <m/>
    <s v="BATER SAM S22 ORI"/>
    <m/>
    <n v="203000"/>
    <m/>
    <n v="1"/>
    <m/>
    <n v="260000"/>
    <m/>
    <n v="260000"/>
    <m/>
    <s v="TEGAR PUTRA YANSA SALES"/>
    <m/>
    <s v="N/A"/>
  </r>
  <r>
    <m/>
    <x v="22"/>
    <m/>
    <s v="MF-FP.25222"/>
    <m/>
    <s v="MF-ST.22678"/>
    <m/>
    <d v="2026-05-14T00:00:00"/>
    <m/>
    <s v="Member Reguler"/>
    <m/>
    <s v="MJ0766"/>
    <m/>
    <s v="Malik"/>
    <m/>
    <s v="HANIF"/>
    <m/>
    <s v="SERVICE HANDPHONE"/>
    <m/>
    <x v="2"/>
    <m/>
    <s v="EKO RISDIYANTORO JATIMULYA"/>
    <m/>
    <x v="2"/>
    <m/>
    <s v="HANIF"/>
    <m/>
    <s v="BATERAI"/>
    <m/>
    <s v="SAMSUNG"/>
    <m/>
    <s v="S22"/>
    <m/>
    <s v="107200"/>
    <m/>
    <s v="LUNA DATA CABLE TYPE-C CB-2EC"/>
    <m/>
    <n v="9500"/>
    <m/>
    <n v="1"/>
    <m/>
    <n v="20000"/>
    <m/>
    <n v="20000"/>
    <m/>
    <s v="TEGAR PUTRA YANSA SALES"/>
    <m/>
    <s v="N/A"/>
  </r>
  <r>
    <m/>
    <x v="22"/>
    <m/>
    <s v="MF-FP.25224"/>
    <m/>
    <s v="MF-ST.22744"/>
    <m/>
    <d v="2026-05-16T00:00:00"/>
    <m/>
    <s v="Member Reguler"/>
    <m/>
    <s v="C.13340"/>
    <m/>
    <s v="ANDRE"/>
    <m/>
    <s v="Achmad Indrawanto"/>
    <m/>
    <s v="PENJUALAN LAPTOP"/>
    <m/>
    <x v="5"/>
    <m/>
    <s v="N/A"/>
    <m/>
    <x v="5"/>
    <m/>
    <s v="Achmad Indrawanto"/>
    <m/>
    <s v="N/A"/>
    <m/>
    <s v="BELUM ADA MERK"/>
    <m/>
    <s v="HP 430"/>
    <m/>
    <s v="105477"/>
    <m/>
    <s v="HP 430 G8 i3 GEN 11 8/256GB"/>
    <m/>
    <n v="3775000"/>
    <m/>
    <n v="1"/>
    <m/>
    <n v="5130000"/>
    <m/>
    <n v="5130000"/>
    <m/>
    <s v="Achmad Indrawanto"/>
    <m/>
    <s v="N/A"/>
  </r>
  <r>
    <m/>
    <x v="22"/>
    <m/>
    <s v="MF-FP.25224"/>
    <m/>
    <s v="MF-ST.22744"/>
    <m/>
    <d v="2026-05-16T00:00:00"/>
    <m/>
    <s v="Member Reguler"/>
    <m/>
    <s v="C.13340"/>
    <m/>
    <s v="ANDRE"/>
    <m/>
    <s v="Achmad Indrawanto"/>
    <m/>
    <s v="PENJUALAN LAPTOP"/>
    <m/>
    <x v="2"/>
    <m/>
    <s v="N/A"/>
    <m/>
    <x v="5"/>
    <m/>
    <s v="Achmad Indrawanto"/>
    <m/>
    <s v="N/A"/>
    <m/>
    <s v="BELUM ADA MERK"/>
    <m/>
    <s v="HP 430"/>
    <m/>
    <s v="107219"/>
    <m/>
    <s v="ROBOT MOUSE M500 BLACK"/>
    <m/>
    <n v="94000"/>
    <m/>
    <n v="1"/>
    <m/>
    <n v="120000"/>
    <m/>
    <n v="120000"/>
    <m/>
    <s v="Achmad Indrawanto"/>
    <m/>
    <s v="N/A"/>
  </r>
  <r>
    <m/>
    <x v="22"/>
    <m/>
    <s v="MF-FP.25225"/>
    <m/>
    <s v="MF-ST.22736"/>
    <m/>
    <d v="2026-05-16T00:00:00"/>
    <m/>
    <s v="Umum"/>
    <m/>
    <s v="C.13336"/>
    <m/>
    <s v="ANISA"/>
    <m/>
    <s v="HANIF"/>
    <m/>
    <s v="SERVICE HANDPHONE"/>
    <m/>
    <x v="0"/>
    <m/>
    <s v="EKO RISDIYANTORO JATIMULYA"/>
    <m/>
    <x v="2"/>
    <m/>
    <s v="HANIF"/>
    <m/>
    <s v="LCD"/>
    <m/>
    <s v="SAMSUNG"/>
    <m/>
    <s v="samsung a12"/>
    <m/>
    <s v="JASA71"/>
    <m/>
    <s v="JASA REPAIR"/>
    <m/>
    <n v="0"/>
    <m/>
    <n v="1"/>
    <m/>
    <n v="180000"/>
    <m/>
    <n v="180000"/>
    <m/>
    <m/>
    <m/>
    <s v="N/A"/>
  </r>
  <r>
    <m/>
    <x v="22"/>
    <m/>
    <s v="MF-FP.25212"/>
    <m/>
    <s v="MF-ST.22728"/>
    <m/>
    <d v="2026-05-16T00:00:00"/>
    <m/>
    <s v="Umum"/>
    <m/>
    <s v="C.09915"/>
    <m/>
    <s v="IBU SRI"/>
    <m/>
    <s v="WAHYU PRATAMA"/>
    <m/>
    <s v="SERVICE LAPTOP"/>
    <m/>
    <x v="0"/>
    <m/>
    <s v="ABDUL MUNAJAT"/>
    <m/>
    <x v="3"/>
    <m/>
    <s v="WAHYU PRATAMA"/>
    <m/>
    <s v="REPAIR"/>
    <m/>
    <s v="AXIO"/>
    <m/>
    <s v="AXIO"/>
    <m/>
    <s v="JASA71"/>
    <m/>
    <s v="JASA REPAIR"/>
    <m/>
    <n v="0"/>
    <m/>
    <n v="1"/>
    <m/>
    <n v="70000"/>
    <m/>
    <n v="70000"/>
    <m/>
    <s v="Achmad Indrawanto"/>
    <m/>
    <s v="N/A"/>
  </r>
  <r>
    <m/>
    <x v="22"/>
    <m/>
    <s v="MF-FP.25209"/>
    <m/>
    <s v="MF-ST.22727"/>
    <m/>
    <d v="2026-05-16T00:00:00"/>
    <m/>
    <s v="Umum"/>
    <m/>
    <s v="C.13331"/>
    <m/>
    <s v="KELVIN"/>
    <m/>
    <s v="WAHYU PRATAMA"/>
    <m/>
    <s v="SERVICE LAPTOP"/>
    <m/>
    <x v="0"/>
    <m/>
    <s v="ABDUL MUNAJAT"/>
    <m/>
    <x v="3"/>
    <m/>
    <s v="WAHYU PRATAMA"/>
    <m/>
    <s v="SOFTWARE"/>
    <m/>
    <s v="LENOVO"/>
    <m/>
    <s v="Lenovo Ideapad slim 3"/>
    <m/>
    <s v="JASA71"/>
    <m/>
    <s v="JASA REPAIR"/>
    <m/>
    <n v="0"/>
    <m/>
    <n v="1"/>
    <m/>
    <n v="240000"/>
    <m/>
    <n v="240000"/>
    <m/>
    <m/>
    <m/>
    <s v="N/A"/>
  </r>
  <r>
    <m/>
    <x v="22"/>
    <m/>
    <s v="MF-FP.25209"/>
    <m/>
    <s v="MF-ST.22727"/>
    <m/>
    <d v="2026-05-16T00:00:00"/>
    <m/>
    <s v="Umum"/>
    <m/>
    <s v="C.13331"/>
    <m/>
    <s v="KELVIN"/>
    <m/>
    <s v="WAHYU PRATAMA"/>
    <m/>
    <s v="SERVICE LAPTOP"/>
    <m/>
    <x v="2"/>
    <m/>
    <s v="ABDUL MUNAJAT"/>
    <m/>
    <x v="3"/>
    <m/>
    <s v="WAHYU PRATAMA"/>
    <m/>
    <s v="SOFTWARE"/>
    <m/>
    <s v="LENOVO"/>
    <m/>
    <s v="Lenovo Ideapad slim 3"/>
    <m/>
    <s v="107200"/>
    <m/>
    <s v="LUNA DATA CABLE TYPE-C CB-2EC"/>
    <m/>
    <n v="9500"/>
    <m/>
    <n v="1"/>
    <m/>
    <n v="10000"/>
    <m/>
    <n v="10000"/>
    <m/>
    <m/>
    <m/>
    <s v="N/A"/>
  </r>
  <r>
    <m/>
    <x v="22"/>
    <m/>
    <s v="MF-FP.25211"/>
    <m/>
    <s v="MF-ST.22714"/>
    <m/>
    <d v="2026-05-16T00:00:00"/>
    <m/>
    <s v="Member Reguler"/>
    <m/>
    <s v="C.05749"/>
    <m/>
    <s v="SIGIT"/>
    <m/>
    <s v="WAHYU PRATAMA"/>
    <m/>
    <s v="SERVICE HANDPHONE"/>
    <m/>
    <x v="0"/>
    <m/>
    <s v="EKO RISDIYANTORO JATIMULYA"/>
    <m/>
    <x v="2"/>
    <m/>
    <s v="WAHYU PRATAMA"/>
    <m/>
    <s v="BATERAI"/>
    <m/>
    <s v="OPPO"/>
    <m/>
    <s v="A16"/>
    <m/>
    <s v="JASA71"/>
    <m/>
    <s v="JASA REPAIR"/>
    <m/>
    <n v="0"/>
    <m/>
    <n v="1"/>
    <m/>
    <n v="205000"/>
    <m/>
    <n v="205000"/>
    <m/>
    <s v="Achmad Indrawanto"/>
    <m/>
    <s v="N/A"/>
  </r>
  <r>
    <m/>
    <x v="22"/>
    <m/>
    <s v="MF-FP.25211"/>
    <m/>
    <s v="MF-ST.22714"/>
    <m/>
    <d v="2026-05-16T00:00:00"/>
    <m/>
    <s v="Member Reguler"/>
    <m/>
    <s v="C.05749"/>
    <m/>
    <s v="SIGIT"/>
    <m/>
    <s v="WAHYU PRATAMA"/>
    <m/>
    <s v="SERVICE HANDPHONE"/>
    <m/>
    <x v="1"/>
    <m/>
    <s v="EKO RISDIYANTORO JATIMULYA"/>
    <m/>
    <x v="2"/>
    <m/>
    <s v="WAHYU PRATAMA"/>
    <m/>
    <s v="BATERAI"/>
    <m/>
    <s v="OPPO"/>
    <m/>
    <s v="A16"/>
    <m/>
    <s v="100599"/>
    <m/>
    <s v="BATER OPP A16/A32/A33/A53/A54/A93 BLP805"/>
    <m/>
    <n v="109823.76734200001"/>
    <m/>
    <n v="1"/>
    <m/>
    <n v="135000"/>
    <m/>
    <n v="135000"/>
    <m/>
    <s v="Achmad Indrawanto"/>
    <m/>
    <s v="N/A"/>
  </r>
  <r>
    <m/>
    <x v="22"/>
    <m/>
    <s v="MF-FP.25210"/>
    <m/>
    <s v="MF-ST.22429"/>
    <m/>
    <d v="2026-05-04T00:00:00"/>
    <m/>
    <s v="Member Reguler"/>
    <m/>
    <s v="C.13182"/>
    <m/>
    <s v="KEN"/>
    <m/>
    <s v="Achmad Indrawanto"/>
    <m/>
    <s v="SERVICE LAPTOP"/>
    <m/>
    <x v="0"/>
    <m/>
    <s v="ARIFIN SANTOSO JATIMULYA"/>
    <m/>
    <x v="6"/>
    <m/>
    <s v="WAHYU PRATAMA"/>
    <m/>
    <s v="REPAIR"/>
    <m/>
    <s v="DELL"/>
    <m/>
    <s v="dell precision 5520"/>
    <m/>
    <s v="JASA71"/>
    <m/>
    <s v="JASA REPAIR"/>
    <m/>
    <n v="0"/>
    <m/>
    <n v="1"/>
    <m/>
    <n v="450000"/>
    <m/>
    <n v="450000"/>
    <m/>
    <s v="Achmad Indrawanto"/>
    <m/>
    <s v="N/A"/>
  </r>
  <r>
    <m/>
    <x v="22"/>
    <m/>
    <s v="MF-FP.25210"/>
    <m/>
    <s v="MF-ST.22429"/>
    <m/>
    <d v="2026-05-04T00:00:00"/>
    <m/>
    <s v="Member Reguler"/>
    <m/>
    <s v="C.13182"/>
    <m/>
    <s v="KEN"/>
    <m/>
    <s v="Achmad Indrawanto"/>
    <m/>
    <s v="SERVICE LAPTOP"/>
    <m/>
    <x v="1"/>
    <m/>
    <s v="ARIFIN SANTOSO JATIMULYA"/>
    <m/>
    <x v="6"/>
    <m/>
    <s v="WAHYU PRATAMA"/>
    <m/>
    <s v="REPAIR"/>
    <m/>
    <s v="DELL"/>
    <m/>
    <s v="dell precision 5520"/>
    <m/>
    <s v="107253"/>
    <m/>
    <s v="BATER LPT DELL PRECISION 5520 RRCGW"/>
    <m/>
    <n v="380000"/>
    <m/>
    <n v="1"/>
    <m/>
    <n v="490000"/>
    <m/>
    <n v="490000"/>
    <m/>
    <s v="Achmad Indrawanto"/>
    <m/>
    <s v="N/A"/>
  </r>
  <r>
    <m/>
    <x v="22"/>
    <m/>
    <s v="MF-FP.25210"/>
    <m/>
    <s v="MF-ST.22429"/>
    <m/>
    <d v="2026-05-04T00:00:00"/>
    <m/>
    <s v="Member Reguler"/>
    <m/>
    <s v="C.13182"/>
    <m/>
    <s v="KEN"/>
    <m/>
    <s v="Achmad Indrawanto"/>
    <m/>
    <s v="SERVICE LAPTOP"/>
    <m/>
    <x v="2"/>
    <m/>
    <s v="ARIFIN SANTOSO JATIMULYA"/>
    <m/>
    <x v="6"/>
    <m/>
    <s v="WAHYU PRATAMA"/>
    <m/>
    <s v="REPAIR"/>
    <m/>
    <s v="DELL"/>
    <m/>
    <s v="dell precision 5520"/>
    <m/>
    <s v="107200"/>
    <m/>
    <s v="LUNA DATA CABLE TYPE-C CB-2EC"/>
    <m/>
    <n v="9500"/>
    <m/>
    <n v="1"/>
    <m/>
    <n v="10000"/>
    <m/>
    <n v="10000"/>
    <m/>
    <s v="Achmad Indrawanto"/>
    <m/>
    <s v="N/A"/>
  </r>
  <r>
    <m/>
    <x v="22"/>
    <m/>
    <s v="MF-FP.25211"/>
    <m/>
    <s v="MF-ST.22714"/>
    <m/>
    <d v="2026-05-16T00:00:00"/>
    <m/>
    <s v="Member Reguler"/>
    <m/>
    <s v="C.05749"/>
    <m/>
    <s v="SIGIT"/>
    <m/>
    <s v="WAHYU PRATAMA"/>
    <m/>
    <s v="SERVICE HANDPHONE"/>
    <m/>
    <x v="2"/>
    <m/>
    <s v="EKO RISDIYANTORO JATIMULYA"/>
    <m/>
    <x v="2"/>
    <m/>
    <s v="WAHYU PRATAMA"/>
    <m/>
    <s v="BATERAI"/>
    <m/>
    <s v="OPPO"/>
    <m/>
    <s v="A16"/>
    <m/>
    <s v="107200"/>
    <m/>
    <s v="LUNA DATA CABLE TYPE-C CB-2EC"/>
    <m/>
    <n v="9500"/>
    <m/>
    <n v="1"/>
    <m/>
    <n v="10000"/>
    <m/>
    <n v="10000"/>
    <m/>
    <s v="Achmad Indrawanto"/>
    <m/>
    <s v="N/A"/>
  </r>
  <r>
    <m/>
    <x v="22"/>
    <m/>
    <s v="MF-FP.25226"/>
    <m/>
    <s v="MF-ST.22740"/>
    <m/>
    <d v="2026-05-16T00:00:00"/>
    <m/>
    <s v="Umum"/>
    <m/>
    <s v="C.13338"/>
    <m/>
    <s v="BAMBANG"/>
    <m/>
    <s v="HANIF"/>
    <m/>
    <s v="SERVICE LAPTOP"/>
    <m/>
    <x v="0"/>
    <m/>
    <s v="ARIFIN SANTOSO JATIMULYA"/>
    <m/>
    <x v="6"/>
    <m/>
    <s v="HANIF"/>
    <m/>
    <s v="SOFTWARE"/>
    <m/>
    <s v="DELL"/>
    <m/>
    <s v="Dell Precision 7520"/>
    <m/>
    <s v="JASA71"/>
    <m/>
    <s v="JASA REPAIR"/>
    <m/>
    <n v="0"/>
    <m/>
    <n v="1"/>
    <m/>
    <n v="230000"/>
    <m/>
    <n v="230000"/>
    <m/>
    <m/>
    <m/>
    <s v="N/A"/>
  </r>
  <r>
    <m/>
    <x v="22"/>
    <m/>
    <s v="MF-FP.25226"/>
    <m/>
    <s v="MF-ST.22740"/>
    <m/>
    <d v="2026-05-16T00:00:00"/>
    <m/>
    <s v="Umum"/>
    <m/>
    <s v="C.13338"/>
    <m/>
    <s v="BAMBANG"/>
    <m/>
    <s v="HANIF"/>
    <m/>
    <s v="SERVICE LAPTOP"/>
    <m/>
    <x v="2"/>
    <m/>
    <s v="ARIFIN SANTOSO JATIMULYA"/>
    <m/>
    <x v="6"/>
    <m/>
    <s v="HANIF"/>
    <m/>
    <s v="SOFTWARE"/>
    <m/>
    <s v="DELL"/>
    <m/>
    <s v="Dell Precision 7520"/>
    <m/>
    <s v="107200"/>
    <m/>
    <s v="LUNA DATA CABLE TYPE-C CB-2EC"/>
    <m/>
    <n v="9500"/>
    <m/>
    <n v="1"/>
    <m/>
    <n v="20000"/>
    <m/>
    <n v="20000"/>
    <m/>
    <m/>
    <m/>
    <s v="N/A"/>
  </r>
  <r>
    <m/>
    <x v="22"/>
    <m/>
    <s v="MF-FP.25214"/>
    <m/>
    <s v="MF-ST.22730"/>
    <m/>
    <d v="2026-05-16T00:00:00"/>
    <m/>
    <s v="Umum"/>
    <m/>
    <s v="C.13333"/>
    <m/>
    <s v="RIO"/>
    <m/>
    <s v="WAHYU PRATAMA"/>
    <m/>
    <s v="SERVICE HANDPHONE"/>
    <m/>
    <x v="0"/>
    <m/>
    <s v="EKO RISDIYANTORO JATIMULYA"/>
    <m/>
    <x v="2"/>
    <m/>
    <s v="WAHYU PRATAMA"/>
    <m/>
    <s v="SOFTWARE"/>
    <m/>
    <s v="XIAOMI"/>
    <m/>
    <s v="REDMI NOE 9"/>
    <m/>
    <s v="JASA71"/>
    <m/>
    <s v="JASA REPAIR"/>
    <m/>
    <n v="0"/>
    <m/>
    <n v="1"/>
    <m/>
    <n v="140000"/>
    <m/>
    <n v="140000"/>
    <m/>
    <m/>
    <m/>
    <s v="N/A"/>
  </r>
  <r>
    <m/>
    <x v="22"/>
    <m/>
    <s v="MF-FP.25216"/>
    <m/>
    <s v="MF-ST.22732"/>
    <m/>
    <d v="2026-05-16T00:00:00"/>
    <m/>
    <s v="Member Reguler"/>
    <m/>
    <s v="MJ2124"/>
    <m/>
    <s v="IBNU YULIANTO"/>
    <m/>
    <s v="WAHYU PRATAMA"/>
    <m/>
    <s v="SERVICE LAPTOP"/>
    <m/>
    <x v="0"/>
    <m/>
    <s v="ABDUL MUNAJAT"/>
    <m/>
    <x v="3"/>
    <m/>
    <s v="WAHYU PRATAMA"/>
    <m/>
    <s v="REPAIR"/>
    <m/>
    <s v="SAMSUNG"/>
    <m/>
    <s v="sam"/>
    <m/>
    <s v="JASA71"/>
    <m/>
    <s v="JASA REPAIR"/>
    <m/>
    <n v="0"/>
    <m/>
    <n v="1"/>
    <m/>
    <n v="50000"/>
    <m/>
    <n v="50000"/>
    <m/>
    <s v="TEGAR PUTRA YANSA SALES"/>
    <m/>
    <s v="N/A"/>
  </r>
  <r>
    <m/>
    <x v="22"/>
    <m/>
    <s v="MF-FP.25216"/>
    <m/>
    <s v="MF-ST.22732"/>
    <m/>
    <d v="2026-05-16T00:00:00"/>
    <m/>
    <s v="Member Reguler"/>
    <m/>
    <s v="MJ2124"/>
    <m/>
    <s v="IBNU YULIANTO"/>
    <m/>
    <s v="WAHYU PRATAMA"/>
    <m/>
    <s v="SERVICE LAPTOP"/>
    <m/>
    <x v="2"/>
    <m/>
    <s v="ABDUL MUNAJAT"/>
    <m/>
    <x v="3"/>
    <m/>
    <s v="WAHYU PRATAMA"/>
    <m/>
    <s v="REPAIR"/>
    <m/>
    <s v="SAMSUNG"/>
    <m/>
    <s v="sam"/>
    <m/>
    <s v="106764"/>
    <m/>
    <s v="VGEN FLASHDISK USB 2.0 AVATAR 8GB"/>
    <m/>
    <n v="77000"/>
    <m/>
    <n v="1"/>
    <m/>
    <n v="100000"/>
    <m/>
    <n v="100000"/>
    <m/>
    <s v="TEGAR PUTRA YANSA SALES"/>
    <m/>
    <s v="N/A"/>
  </r>
  <r>
    <m/>
    <x v="22"/>
    <m/>
    <s v="MF-FP.25208"/>
    <m/>
    <s v="MF-ST.22646"/>
    <m/>
    <d v="2026-05-13T00:00:00"/>
    <m/>
    <s v="Umum"/>
    <m/>
    <s v="C.08893"/>
    <m/>
    <s v="DINDA"/>
    <m/>
    <s v="Achmad Indrawanto"/>
    <m/>
    <s v="SERVICE HANDPHONE"/>
    <m/>
    <x v="0"/>
    <m/>
    <s v="EKO RISDIYANTORO JATIMULYA"/>
    <m/>
    <x v="2"/>
    <m/>
    <s v="WAHYU PRATAMA"/>
    <m/>
    <s v="LCD"/>
    <m/>
    <s v="XIAOMI"/>
    <m/>
    <s v="Poco x5 5g"/>
    <m/>
    <s v="JASA71"/>
    <m/>
    <s v="JASA REPAIR"/>
    <m/>
    <n v="0"/>
    <m/>
    <n v="1"/>
    <m/>
    <n v="465000"/>
    <m/>
    <n v="465000"/>
    <m/>
    <m/>
    <m/>
    <s v="N/A"/>
  </r>
  <r>
    <m/>
    <x v="22"/>
    <m/>
    <s v="MF-FP.25208"/>
    <m/>
    <s v="MF-ST.22646"/>
    <m/>
    <d v="2026-05-13T00:00:00"/>
    <m/>
    <s v="Umum"/>
    <m/>
    <s v="C.08893"/>
    <m/>
    <s v="DINDA"/>
    <m/>
    <s v="Achmad Indrawanto"/>
    <m/>
    <s v="SERVICE HANDPHONE"/>
    <m/>
    <x v="1"/>
    <m/>
    <s v="EKO RISDIYANTORO JATIMULYA"/>
    <m/>
    <x v="2"/>
    <m/>
    <s v="WAHYU PRATAMA"/>
    <m/>
    <s v="LCD"/>
    <m/>
    <s v="XIAOMI"/>
    <m/>
    <s v="Poco x5 5g"/>
    <m/>
    <s v="107275"/>
    <m/>
    <s v="FLBRD XIO REDMI NOTE 12 5G / POCO X5 5G"/>
    <m/>
    <n v="14000"/>
    <m/>
    <n v="1"/>
    <m/>
    <n v="10000"/>
    <m/>
    <n v="10000"/>
    <m/>
    <m/>
    <m/>
    <s v="N/A"/>
  </r>
  <r>
    <m/>
    <x v="22"/>
    <m/>
    <s v="MF-FP.25208"/>
    <m/>
    <s v="MF-ST.22646"/>
    <m/>
    <d v="2026-05-13T00:00:00"/>
    <m/>
    <s v="Umum"/>
    <m/>
    <s v="C.08893"/>
    <m/>
    <s v="DINDA"/>
    <m/>
    <s v="Achmad Indrawanto"/>
    <m/>
    <s v="SERVICE HANDPHONE"/>
    <m/>
    <x v="1"/>
    <m/>
    <s v="EKO RISDIYANTORO JATIMULYA"/>
    <m/>
    <x v="2"/>
    <m/>
    <s v="WAHYU PRATAMA"/>
    <m/>
    <s v="LCD"/>
    <m/>
    <s v="XIAOMI"/>
    <m/>
    <s v="Poco x5 5g"/>
    <m/>
    <s v="105972"/>
    <m/>
    <s v="LCD.. XIO POCO X5 5G/REDMI NOTE 12 5G OLED B"/>
    <m/>
    <n v="470000"/>
    <m/>
    <n v="1"/>
    <m/>
    <n v="600000"/>
    <m/>
    <n v="600000"/>
    <m/>
    <m/>
    <m/>
    <s v="N/A"/>
  </r>
  <r>
    <m/>
    <x v="22"/>
    <m/>
    <s v="MF-FP.25208"/>
    <m/>
    <s v="MF-ST.22646"/>
    <m/>
    <d v="2026-05-13T00:00:00"/>
    <m/>
    <s v="Umum"/>
    <m/>
    <s v="C.08893"/>
    <m/>
    <s v="DINDA"/>
    <m/>
    <s v="Achmad Indrawanto"/>
    <m/>
    <s v="SERVICE HANDPHONE"/>
    <m/>
    <x v="2"/>
    <m/>
    <s v="EKO RISDIYANTORO JATIMULYA"/>
    <m/>
    <x v="2"/>
    <m/>
    <s v="WAHYU PRATAMA"/>
    <m/>
    <s v="LCD"/>
    <m/>
    <s v="XIAOMI"/>
    <m/>
    <s v="Poco x5 5g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22"/>
    <m/>
    <s v="MF-FP.25214"/>
    <m/>
    <s v="MF-ST.22730"/>
    <m/>
    <d v="2026-05-16T00:00:00"/>
    <m/>
    <s v="Umum"/>
    <m/>
    <s v="C.13333"/>
    <m/>
    <s v="RIO"/>
    <m/>
    <s v="WAHYU PRATAMA"/>
    <m/>
    <s v="SERVICE HANDPHONE"/>
    <m/>
    <x v="2"/>
    <m/>
    <s v="EKO RISDIYANTORO JATIMULYA"/>
    <m/>
    <x v="2"/>
    <m/>
    <s v="WAHYU PRATAMA"/>
    <m/>
    <s v="SOFTWARE"/>
    <m/>
    <s v="XIAOMI"/>
    <m/>
    <s v="REDMI NOE 9"/>
    <m/>
    <s v="107200"/>
    <m/>
    <s v="LUNA DATA CABLE TYPE-C CB-2EC"/>
    <m/>
    <n v="9500"/>
    <m/>
    <n v="1"/>
    <m/>
    <n v="10000"/>
    <m/>
    <n v="10000"/>
    <m/>
    <m/>
    <m/>
    <s v="N/A"/>
  </r>
  <r>
    <m/>
    <x v="22"/>
    <m/>
    <s v="MF-FP.25215"/>
    <m/>
    <s v="MF-ST.22731"/>
    <m/>
    <d v="2026-05-16T00:00:00"/>
    <m/>
    <s v="Member Reguler"/>
    <m/>
    <s v="C.08449"/>
    <m/>
    <s v="ANANDA"/>
    <m/>
    <s v="WAHYU PRATAMA"/>
    <m/>
    <s v="PENJUALAN AKSESORIS"/>
    <m/>
    <x v="1"/>
    <m/>
    <s v="N/A"/>
    <m/>
    <x v="5"/>
    <m/>
    <s v="WAHYU PRATAMA"/>
    <m/>
    <s v="REPAIR"/>
    <m/>
    <s v="HP"/>
    <m/>
    <s v="HP"/>
    <m/>
    <s v="103634"/>
    <m/>
    <s v="ADPTR LPT HP 19.5V-2.31A 45W (BLUE PIN 4.5*3.0MM)"/>
    <m/>
    <n v="75897.260274"/>
    <m/>
    <n v="1"/>
    <m/>
    <n v="250000"/>
    <m/>
    <n v="250000"/>
    <m/>
    <s v="Achmad Indrawanto"/>
    <m/>
    <s v="N/A"/>
  </r>
  <r>
    <m/>
    <x v="22"/>
    <m/>
    <s v="MF-FP.25217"/>
    <m/>
    <s v="MF-ST.22733"/>
    <m/>
    <d v="2026-05-16T00:00:00"/>
    <m/>
    <s v="Umum"/>
    <m/>
    <s v="C.13334"/>
    <m/>
    <s v="FEBRINA"/>
    <m/>
    <s v="WAHYU PRATAMA"/>
    <m/>
    <s v="SERVICE LAPTOP"/>
    <m/>
    <x v="0"/>
    <m/>
    <s v="ABDUL MUNAJAT"/>
    <m/>
    <x v="3"/>
    <m/>
    <s v="WAHYU PRATAMA"/>
    <m/>
    <s v="SSD"/>
    <m/>
    <s v="ASUS"/>
    <m/>
    <s v="E40W"/>
    <m/>
    <s v="JASA71"/>
    <m/>
    <s v="JASA REPAIR"/>
    <m/>
    <n v="0"/>
    <m/>
    <n v="1"/>
    <m/>
    <n v="450000"/>
    <m/>
    <n v="450000"/>
    <m/>
    <m/>
    <m/>
    <s v="N/A"/>
  </r>
  <r>
    <m/>
    <x v="22"/>
    <m/>
    <s v="MF-FP.25219"/>
    <m/>
    <s v="MF-ST.22738"/>
    <m/>
    <d v="2026-05-16T00:00:00"/>
    <m/>
    <s v="Umum"/>
    <m/>
    <s v="C.13337"/>
    <m/>
    <s v="ARDI"/>
    <m/>
    <s v="HANIF"/>
    <m/>
    <s v="SERVICE HANDPHONE"/>
    <m/>
    <x v="1"/>
    <m/>
    <s v="EKO RISDIYANTORO JATIMULYA"/>
    <m/>
    <x v="2"/>
    <m/>
    <s v="HANIF"/>
    <m/>
    <s v="LCD"/>
    <m/>
    <s v="APPLE"/>
    <m/>
    <s v="IPHONE X"/>
    <m/>
    <s v="101377"/>
    <m/>
    <s v="LCD.. IPH X FST"/>
    <m/>
    <n v="208763.923698"/>
    <m/>
    <n v="1"/>
    <m/>
    <n v="280000"/>
    <m/>
    <n v="280000"/>
    <m/>
    <m/>
    <m/>
    <s v="N/A"/>
  </r>
  <r>
    <m/>
    <x v="22"/>
    <m/>
    <s v="MF-FP.25219"/>
    <m/>
    <s v="MF-ST.22738"/>
    <m/>
    <d v="2026-05-16T00:00:00"/>
    <m/>
    <s v="Umum"/>
    <m/>
    <s v="C.13337"/>
    <m/>
    <s v="ARDI"/>
    <m/>
    <s v="HANIF"/>
    <m/>
    <s v="SERVICE HANDPHONE"/>
    <m/>
    <x v="2"/>
    <m/>
    <s v="EKO RISDIYANTORO JATIMULYA"/>
    <m/>
    <x v="2"/>
    <m/>
    <s v="HANIF"/>
    <m/>
    <s v="LCD"/>
    <m/>
    <s v="APPLE"/>
    <m/>
    <s v="IPHONE X"/>
    <m/>
    <s v="107200"/>
    <m/>
    <s v="LUNA DATA CABLE TYPE-C CB-2EC"/>
    <m/>
    <n v="9500"/>
    <m/>
    <n v="1"/>
    <m/>
    <n v="20000"/>
    <m/>
    <n v="20000"/>
    <m/>
    <m/>
    <m/>
    <s v="N/A"/>
  </r>
  <r>
    <m/>
    <x v="22"/>
    <m/>
    <s v="MF-FP.25217"/>
    <m/>
    <s v="MF-ST.22733"/>
    <m/>
    <d v="2026-05-16T00:00:00"/>
    <m/>
    <s v="Umum"/>
    <m/>
    <s v="C.13334"/>
    <m/>
    <s v="FEBRINA"/>
    <m/>
    <s v="WAHYU PRATAMA"/>
    <m/>
    <s v="SERVICE LAPTOP"/>
    <m/>
    <x v="1"/>
    <m/>
    <s v="ABDUL MUNAJAT"/>
    <m/>
    <x v="3"/>
    <m/>
    <s v="WAHYU PRATAMA"/>
    <m/>
    <s v="SSD"/>
    <m/>
    <s v="ASUS"/>
    <m/>
    <s v="E40W"/>
    <m/>
    <s v="105640"/>
    <m/>
    <s v="VGEN SSD SATA III PLATINUM 128GB"/>
    <m/>
    <n v="461871.25845700002"/>
    <m/>
    <n v="1"/>
    <m/>
    <n v="540000"/>
    <m/>
    <n v="540000"/>
    <m/>
    <m/>
    <m/>
    <s v="N/A"/>
  </r>
  <r>
    <m/>
    <x v="22"/>
    <m/>
    <s v="MF-FP.25217"/>
    <m/>
    <s v="MF-ST.22733"/>
    <m/>
    <d v="2026-05-16T00:00:00"/>
    <m/>
    <s v="Umum"/>
    <m/>
    <s v="C.13334"/>
    <m/>
    <s v="FEBRINA"/>
    <m/>
    <s v="WAHYU PRATAMA"/>
    <m/>
    <s v="SERVICE LAPTOP"/>
    <m/>
    <x v="2"/>
    <m/>
    <s v="ABDUL MUNAJAT"/>
    <m/>
    <x v="3"/>
    <m/>
    <s v="WAHYU PRATAMA"/>
    <m/>
    <s v="SSD"/>
    <m/>
    <s v="ASUS"/>
    <m/>
    <s v="E40W"/>
    <m/>
    <s v="107200"/>
    <m/>
    <s v="LUNA DATA CABLE TYPE-C CB-2EC"/>
    <m/>
    <n v="9500"/>
    <m/>
    <n v="1"/>
    <m/>
    <n v="10000"/>
    <m/>
    <n v="10000"/>
    <m/>
    <m/>
    <m/>
    <s v="N/A"/>
  </r>
  <r>
    <m/>
    <x v="22"/>
    <m/>
    <s v="MF-FP.25223"/>
    <m/>
    <s v="MF-ST.22745"/>
    <m/>
    <d v="2026-05-16T00:00:00"/>
    <m/>
    <s v="Member Reguler"/>
    <m/>
    <s v="C.13290"/>
    <m/>
    <s v="ERWIN"/>
    <m/>
    <s v="HANIF"/>
    <m/>
    <s v="SERVICE LAPTOP"/>
    <m/>
    <x v="0"/>
    <m/>
    <s v="ABDUL MUNAJAT"/>
    <m/>
    <x v="3"/>
    <m/>
    <s v="HANIF"/>
    <m/>
    <s v="SPEAKER"/>
    <m/>
    <s v="LENOVO"/>
    <m/>
    <s v="Lenovo v14 g2 ITL"/>
    <m/>
    <s v="JASA71"/>
    <m/>
    <s v="JASA REPAIR"/>
    <m/>
    <n v="0"/>
    <m/>
    <n v="1"/>
    <m/>
    <n v="245000"/>
    <m/>
    <n v="245000"/>
    <m/>
    <s v="Achmad Indrawanto"/>
    <m/>
    <s v="N/A"/>
  </r>
  <r>
    <m/>
    <x v="22"/>
    <m/>
    <s v="MF-FP.25223"/>
    <m/>
    <s v="MF-ST.22745"/>
    <m/>
    <d v="2026-05-16T00:00:00"/>
    <m/>
    <s v="Member Reguler"/>
    <m/>
    <s v="C.13290"/>
    <m/>
    <s v="ERWIN"/>
    <m/>
    <s v="HANIF"/>
    <m/>
    <s v="SERVICE LAPTOP"/>
    <m/>
    <x v="1"/>
    <m/>
    <s v="ABDUL MUNAJAT"/>
    <m/>
    <x v="3"/>
    <m/>
    <s v="HANIF"/>
    <m/>
    <s v="SPEAKER"/>
    <m/>
    <s v="LENOVO"/>
    <m/>
    <s v="Lenovo v14 g2 ITL"/>
    <m/>
    <s v="107096"/>
    <m/>
    <s v="SPKR. LPT LNV V14-ADA V14 G2 V14-G2 V14 G2 ITL V14 G2-ALC G2 ALC ALC-82KC00GLID AB"/>
    <m/>
    <n v="125400"/>
    <m/>
    <n v="1"/>
    <m/>
    <n v="160000"/>
    <m/>
    <n v="160000"/>
    <m/>
    <s v="Achmad Indrawanto"/>
    <m/>
    <s v="N/A"/>
  </r>
  <r>
    <m/>
    <x v="22"/>
    <m/>
    <s v="MF-FP.25221"/>
    <m/>
    <s v="MF-ST.22743"/>
    <m/>
    <d v="2026-05-16T00:00:00"/>
    <m/>
    <s v="Member Reguler"/>
    <m/>
    <s v="MJ0766"/>
    <m/>
    <s v="Malik"/>
    <m/>
    <s v="HANIF"/>
    <m/>
    <s v="SERVICE HANDPHONE"/>
    <m/>
    <x v="0"/>
    <m/>
    <s v="YUVI NOFERIANTO"/>
    <m/>
    <x v="4"/>
    <m/>
    <s v="HANIF"/>
    <m/>
    <s v="LCD"/>
    <m/>
    <s v="SONY"/>
    <m/>
    <s v="Sony experia"/>
    <m/>
    <s v="JASA71"/>
    <m/>
    <s v="JASA REPAIR"/>
    <m/>
    <n v="0"/>
    <m/>
    <n v="1"/>
    <m/>
    <n v="130000"/>
    <m/>
    <n v="130000"/>
    <m/>
    <s v="TEGAR PUTRA YANSA SALES"/>
    <m/>
    <s v="N/A"/>
  </r>
  <r>
    <m/>
    <x v="22"/>
    <m/>
    <s v="MF-FP.25219"/>
    <m/>
    <s v="MF-ST.22738"/>
    <m/>
    <d v="2026-05-16T00:00:00"/>
    <m/>
    <s v="Umum"/>
    <m/>
    <s v="C.13337"/>
    <m/>
    <s v="ARDI"/>
    <m/>
    <s v="HANIF"/>
    <m/>
    <s v="SERVICE HANDPHONE"/>
    <m/>
    <x v="0"/>
    <m/>
    <s v="EKO RISDIYANTORO JATIMULYA"/>
    <m/>
    <x v="2"/>
    <m/>
    <s v="HANIF"/>
    <m/>
    <s v="LCD"/>
    <m/>
    <s v="APPLE"/>
    <m/>
    <s v="IPHONE X"/>
    <m/>
    <s v="JASA71"/>
    <m/>
    <s v="JASA REPAIR"/>
    <m/>
    <n v="0"/>
    <m/>
    <n v="1"/>
    <m/>
    <n v="200000"/>
    <m/>
    <n v="200000"/>
    <m/>
    <m/>
    <m/>
    <s v="N/A"/>
  </r>
  <r>
    <m/>
    <x v="22"/>
    <m/>
    <s v="MF-FP.25220"/>
    <m/>
    <s v="MF-ST.22739"/>
    <m/>
    <d v="2026-05-16T00:00:00"/>
    <m/>
    <s v="Umum"/>
    <m/>
    <s v="C.04013"/>
    <m/>
    <s v="PAK Sajino"/>
    <m/>
    <s v="HANIF"/>
    <m/>
    <s v="SERVICE HANDPHONE"/>
    <m/>
    <x v="0"/>
    <m/>
    <s v="YUVI NOFERIANTO"/>
    <m/>
    <x v="4"/>
    <m/>
    <s v="HANIF"/>
    <m/>
    <s v="BATERAI"/>
    <m/>
    <s v="XIAOMI"/>
    <m/>
    <s v="REDMI 8T"/>
    <m/>
    <s v="JASA71"/>
    <m/>
    <s v="JASA REPAIR"/>
    <m/>
    <n v="0"/>
    <m/>
    <n v="1"/>
    <m/>
    <n v="150000"/>
    <m/>
    <n v="150000"/>
    <m/>
    <m/>
    <m/>
    <s v="N/A"/>
  </r>
  <r>
    <m/>
    <x v="22"/>
    <m/>
    <s v="MF-FP.25220"/>
    <m/>
    <s v="MF-ST.22739"/>
    <m/>
    <d v="2026-05-16T00:00:00"/>
    <m/>
    <s v="Umum"/>
    <m/>
    <s v="C.04013"/>
    <m/>
    <s v="PAK Sajino"/>
    <m/>
    <s v="HANIF"/>
    <m/>
    <s v="SERVICE HANDPHONE"/>
    <m/>
    <x v="1"/>
    <m/>
    <s v="YUVI NOFERIANTO"/>
    <m/>
    <x v="4"/>
    <m/>
    <s v="HANIF"/>
    <m/>
    <s v="BATERAI"/>
    <m/>
    <s v="XIAOMI"/>
    <m/>
    <s v="REDMI 8T"/>
    <m/>
    <s v="101403"/>
    <m/>
    <s v="BATER XIO REDMI 9T/POCO M3 BN62"/>
    <m/>
    <n v="104351.721185"/>
    <m/>
    <n v="1"/>
    <m/>
    <n v="130000"/>
    <m/>
    <n v="130000"/>
    <m/>
    <m/>
    <m/>
    <s v="N/A"/>
  </r>
  <r>
    <m/>
    <x v="22"/>
    <m/>
    <s v="MF-FP.25220"/>
    <m/>
    <s v="MF-ST.22739"/>
    <m/>
    <d v="2026-05-16T00:00:00"/>
    <m/>
    <s v="Umum"/>
    <m/>
    <s v="C.04013"/>
    <m/>
    <s v="PAK Sajino"/>
    <m/>
    <s v="HANIF"/>
    <m/>
    <s v="SERVICE HANDPHONE"/>
    <m/>
    <x v="2"/>
    <m/>
    <s v="YUVI NOFERIANTO"/>
    <m/>
    <x v="4"/>
    <m/>
    <s v="HANIF"/>
    <m/>
    <s v="BATERAI"/>
    <m/>
    <s v="XIAOMI"/>
    <m/>
    <s v="REDMI 8T"/>
    <m/>
    <s v="107200"/>
    <m/>
    <s v="LUNA DATA CABLE TYPE-C CB-2EC"/>
    <m/>
    <n v="9500"/>
    <m/>
    <n v="1"/>
    <m/>
    <n v="20000"/>
    <m/>
    <n v="20000"/>
    <m/>
    <m/>
    <m/>
    <s v="N/A"/>
  </r>
  <r>
    <m/>
    <x v="22"/>
    <m/>
    <s v="MF-FP.25221"/>
    <m/>
    <s v="MF-ST.22743"/>
    <m/>
    <d v="2026-05-16T00:00:00"/>
    <m/>
    <s v="Member Reguler"/>
    <m/>
    <s v="MJ0766"/>
    <m/>
    <s v="Malik"/>
    <m/>
    <s v="HANIF"/>
    <m/>
    <s v="SERVICE HANDPHONE"/>
    <m/>
    <x v="2"/>
    <m/>
    <s v="YUVI NOFERIANTO"/>
    <m/>
    <x v="4"/>
    <m/>
    <s v="HANIF"/>
    <m/>
    <s v="LCD"/>
    <m/>
    <s v="SONY"/>
    <m/>
    <s v="Sony experia"/>
    <m/>
    <s v="107200"/>
    <m/>
    <s v="LUNA DATA CABLE TYPE-C CB-2EC"/>
    <m/>
    <n v="9500"/>
    <m/>
    <n v="1"/>
    <m/>
    <n v="20000"/>
    <m/>
    <n v="20000"/>
    <m/>
    <s v="TEGAR PUTRA YANSA SALES"/>
    <m/>
    <s v="N/A"/>
  </r>
  <r>
    <m/>
    <x v="22"/>
    <m/>
    <s v="MF-FP.25223"/>
    <m/>
    <s v="MF-ST.22745"/>
    <m/>
    <d v="2026-05-16T00:00:00"/>
    <m/>
    <s v="Member Reguler"/>
    <m/>
    <s v="C.13290"/>
    <m/>
    <s v="ERWIN"/>
    <m/>
    <s v="HANIF"/>
    <m/>
    <s v="SERVICE LAPTOP"/>
    <m/>
    <x v="2"/>
    <m/>
    <s v="ABDUL MUNAJAT"/>
    <m/>
    <x v="3"/>
    <m/>
    <s v="HANIF"/>
    <m/>
    <s v="SPEAKER"/>
    <m/>
    <s v="LENOVO"/>
    <m/>
    <s v="Lenovo v14 g2 ITL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2"/>
    <m/>
    <s v="MF-FP.25225"/>
    <m/>
    <s v="MF-ST.22736"/>
    <m/>
    <d v="2026-05-16T00:00:00"/>
    <m/>
    <s v="Umum"/>
    <m/>
    <s v="C.13336"/>
    <m/>
    <s v="ANISA"/>
    <m/>
    <s v="HANIF"/>
    <m/>
    <s v="SERVICE HANDPHONE"/>
    <m/>
    <x v="1"/>
    <m/>
    <s v="EKO RISDIYANTORO JATIMULYA"/>
    <m/>
    <x v="2"/>
    <m/>
    <s v="HANIF"/>
    <m/>
    <s v="LCD"/>
    <m/>
    <s v="SAMSUNG"/>
    <m/>
    <s v="samsung a12"/>
    <m/>
    <s v="100757"/>
    <m/>
    <s v="LCD.. SAM A02/A12/A32 5G/M02/M12 B FST"/>
    <m/>
    <n v="114469.34540200001"/>
    <m/>
    <n v="1"/>
    <m/>
    <n v="200000"/>
    <m/>
    <n v="200000"/>
    <m/>
    <m/>
    <m/>
    <s v="N/A"/>
  </r>
  <r>
    <m/>
    <x v="22"/>
    <m/>
    <s v="MF-FP.25225"/>
    <m/>
    <s v="MF-ST.22736"/>
    <m/>
    <d v="2026-05-16T00:00:00"/>
    <m/>
    <s v="Umum"/>
    <m/>
    <s v="C.13336"/>
    <m/>
    <s v="ANISA"/>
    <m/>
    <s v="HANIF"/>
    <m/>
    <s v="SERVICE HANDPHONE"/>
    <m/>
    <x v="2"/>
    <m/>
    <s v="EKO RISDIYANTORO JATIMULYA"/>
    <m/>
    <x v="2"/>
    <m/>
    <s v="HANIF"/>
    <m/>
    <s v="LCD"/>
    <m/>
    <s v="SAMSUNG"/>
    <m/>
    <s v="samsung a12"/>
    <m/>
    <s v="107200"/>
    <m/>
    <s v="LUNA DATA CABLE TYPE-C CB-2EC"/>
    <m/>
    <n v="9500"/>
    <m/>
    <n v="1"/>
    <m/>
    <n v="20000"/>
    <m/>
    <n v="20000"/>
    <m/>
    <m/>
    <m/>
    <s v="N/A"/>
  </r>
  <r>
    <m/>
    <x v="22"/>
    <m/>
    <s v="MF-FP.25227"/>
    <m/>
    <s v="MF-ST.22741"/>
    <m/>
    <d v="2026-05-16T00:00:00"/>
    <m/>
    <s v="Member Reguler"/>
    <m/>
    <s v="C.13339"/>
    <m/>
    <s v="AKMAL"/>
    <m/>
    <s v="Achmad Indrawanto"/>
    <m/>
    <s v="SERVICE LAPTOP"/>
    <m/>
    <x v="0"/>
    <m/>
    <s v="ARIFIN SANTOSO JATIMULYA"/>
    <m/>
    <x v="6"/>
    <m/>
    <s v="Achmad Indrawanto"/>
    <m/>
    <s v="SOFTWARE"/>
    <m/>
    <s v="LENOVO"/>
    <m/>
    <s v="Lenovo v14 g2"/>
    <m/>
    <s v="JASA71"/>
    <m/>
    <s v="JASA REPAIR"/>
    <m/>
    <n v="0"/>
    <m/>
    <n v="1"/>
    <m/>
    <n v="230000"/>
    <m/>
    <n v="230000"/>
    <m/>
    <s v="Achmad Indrawanto"/>
    <m/>
    <s v="N/A"/>
  </r>
  <r>
    <m/>
    <x v="22"/>
    <m/>
    <s v="MF-FP.25227"/>
    <m/>
    <s v="MF-ST.22741"/>
    <m/>
    <d v="2026-05-16T00:00:00"/>
    <m/>
    <s v="Member Reguler"/>
    <m/>
    <s v="C.13339"/>
    <m/>
    <s v="AKMAL"/>
    <m/>
    <s v="Achmad Indrawanto"/>
    <m/>
    <s v="SERVICE LAPTOP"/>
    <m/>
    <x v="2"/>
    <m/>
    <s v="ARIFIN SANTOSO JATIMULYA"/>
    <m/>
    <x v="6"/>
    <m/>
    <s v="Achmad Indrawanto"/>
    <m/>
    <s v="SOFTWARE"/>
    <m/>
    <s v="LENOVO"/>
    <m/>
    <s v="Lenovo v14 g2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3"/>
    <m/>
    <s v="MF-FP.25246"/>
    <m/>
    <m/>
    <m/>
    <m/>
    <m/>
    <m/>
    <m/>
    <s v="C.13325"/>
    <m/>
    <s v="HARIYADI"/>
    <m/>
    <m/>
    <m/>
    <s v="SERVICE LAPTOP"/>
    <m/>
    <x v="1"/>
    <m/>
    <m/>
    <m/>
    <x v="8"/>
    <m/>
    <s v="WAHYU PRATAMA"/>
    <m/>
    <m/>
    <m/>
    <m/>
    <m/>
    <m/>
    <m/>
    <s v="107039"/>
    <m/>
    <s v="KYBRD LPT LNV X270 BACKLIT"/>
    <m/>
    <n v="316741.071429"/>
    <m/>
    <n v="1"/>
    <m/>
    <n v="416000"/>
    <m/>
    <n v="416000"/>
    <m/>
    <m/>
    <m/>
    <s v="N/A"/>
  </r>
  <r>
    <m/>
    <x v="23"/>
    <m/>
    <s v="MF-FP.25229"/>
    <m/>
    <s v="MF-ST.22723"/>
    <m/>
    <d v="2026-05-16T00:00:00"/>
    <m/>
    <s v="Member Reguler"/>
    <m/>
    <s v="C.03070"/>
    <m/>
    <s v="Arifin"/>
    <m/>
    <s v="WAHYU PRATAMA"/>
    <m/>
    <s v="SERVICE HANDPHONE"/>
    <m/>
    <x v="0"/>
    <m/>
    <s v="EKO RISDIYANTORO JATIMULYA"/>
    <m/>
    <x v="2"/>
    <m/>
    <s v="Achmad Indrawanto"/>
    <m/>
    <s v="REPAIR"/>
    <m/>
    <s v="SAMSUNG"/>
    <m/>
    <s v="A20"/>
    <m/>
    <s v="JASA71"/>
    <m/>
    <s v="JASA REPAIR"/>
    <m/>
    <n v="0"/>
    <m/>
    <n v="1"/>
    <m/>
    <n v="275000"/>
    <m/>
    <n v="275000"/>
    <m/>
    <s v="BAGUS SOLIHIN SALES RETAIL"/>
    <m/>
    <s v="N/A"/>
  </r>
  <r>
    <m/>
    <x v="23"/>
    <m/>
    <s v="MF-FP.25229"/>
    <m/>
    <s v="MF-ST.22723"/>
    <m/>
    <d v="2026-05-16T00:00:00"/>
    <m/>
    <s v="Member Reguler"/>
    <m/>
    <s v="C.03070"/>
    <m/>
    <s v="Arifin"/>
    <m/>
    <s v="WAHYU PRATAMA"/>
    <m/>
    <s v="SERVICE HANDPHONE"/>
    <m/>
    <x v="1"/>
    <m/>
    <s v="EKO RISDIYANTORO JATIMULYA"/>
    <m/>
    <x v="2"/>
    <m/>
    <s v="Achmad Indrawanto"/>
    <m/>
    <s v="REPAIR"/>
    <m/>
    <s v="SAMSUNG"/>
    <m/>
    <s v="A20"/>
    <m/>
    <s v="100237"/>
    <m/>
    <s v="LCD.. SAM A20 A205 A205F B FST"/>
    <m/>
    <n v="148244.587906"/>
    <m/>
    <n v="1"/>
    <m/>
    <n v="200000"/>
    <m/>
    <n v="200000"/>
    <m/>
    <s v="BAGUS SOLIHIN SALES RETAIL"/>
    <m/>
    <s v="N/A"/>
  </r>
  <r>
    <m/>
    <x v="23"/>
    <m/>
    <s v="MF-FP.25229"/>
    <m/>
    <s v="MF-ST.22723"/>
    <m/>
    <d v="2026-05-16T00:00:00"/>
    <m/>
    <s v="Member Reguler"/>
    <m/>
    <s v="C.03070"/>
    <m/>
    <s v="Arifin"/>
    <m/>
    <s v="WAHYU PRATAMA"/>
    <m/>
    <s v="SERVICE HANDPHONE"/>
    <m/>
    <x v="2"/>
    <m/>
    <s v="EKO RISDIYANTORO JATIMULYA"/>
    <m/>
    <x v="2"/>
    <m/>
    <s v="Achmad Indrawanto"/>
    <m/>
    <s v="REPAIR"/>
    <m/>
    <s v="SAMSUNG"/>
    <m/>
    <s v="A20"/>
    <m/>
    <s v="100025"/>
    <m/>
    <s v="VIVAN HYDROGEL BASIC CRYSTAL CLEAR VSP01T"/>
    <m/>
    <n v="11151.582562"/>
    <m/>
    <n v="1"/>
    <m/>
    <n v="25000"/>
    <m/>
    <n v="25000"/>
    <m/>
    <s v="BAGUS SOLIHIN SALES RETAIL"/>
    <m/>
    <s v="N/A"/>
  </r>
  <r>
    <m/>
    <x v="23"/>
    <m/>
    <s v="MF-FP.25240"/>
    <m/>
    <s v="MF-ST.22759"/>
    <m/>
    <d v="2026-05-17T00:00:00"/>
    <m/>
    <s v="Member Reguler"/>
    <m/>
    <s v="C.13348"/>
    <m/>
    <s v="ANDRE"/>
    <m/>
    <s v="Achmad Indrawanto"/>
    <m/>
    <s v="SERVICE HANDPHONE"/>
    <m/>
    <x v="1"/>
    <m/>
    <s v="EKO RISDIYANTORO JATIMULYA"/>
    <m/>
    <x v="2"/>
    <m/>
    <s v="Achmad Indrawanto"/>
    <m/>
    <s v="KONEKTOR CHARGER"/>
    <m/>
    <s v="XIAOMI"/>
    <m/>
    <s v="redmi note 12 4g"/>
    <m/>
    <s v="105574"/>
    <m/>
    <s v="FLCRG XIO REDMI NOTE 12 4G"/>
    <m/>
    <n v="41666.666666999998"/>
    <m/>
    <n v="1"/>
    <m/>
    <n v="50000"/>
    <m/>
    <n v="50000"/>
    <m/>
    <s v="Achmad Indrawanto"/>
    <m/>
    <s v="N/A"/>
  </r>
  <r>
    <m/>
    <x v="23"/>
    <m/>
    <s v="MF-FP.25240"/>
    <m/>
    <s v="MF-ST.22759"/>
    <m/>
    <d v="2026-05-17T00:00:00"/>
    <m/>
    <s v="Member Reguler"/>
    <m/>
    <s v="C.13348"/>
    <m/>
    <s v="ANDRE"/>
    <m/>
    <s v="Achmad Indrawanto"/>
    <m/>
    <s v="SERVICE HANDPHONE"/>
    <m/>
    <x v="2"/>
    <m/>
    <s v="EKO RISDIYANTORO JATIMULYA"/>
    <m/>
    <x v="2"/>
    <m/>
    <s v="Achmad Indrawanto"/>
    <m/>
    <s v="KONEKTOR CHARGER"/>
    <m/>
    <s v="XIAOMI"/>
    <m/>
    <s v="redmi note 12 4g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3"/>
    <m/>
    <s v="MF-FP.25228"/>
    <m/>
    <s v="MF-ST.22722"/>
    <m/>
    <d v="2026-05-16T00:00:00"/>
    <m/>
    <s v="Member Reguler"/>
    <m/>
    <s v="C.03070"/>
    <m/>
    <s v="Arifin"/>
    <m/>
    <s v="WAHYU PRATAMA"/>
    <m/>
    <s v="SERVICE LAPTOP"/>
    <m/>
    <x v="0"/>
    <m/>
    <s v="ABDUL MUNAJAT"/>
    <m/>
    <x v="3"/>
    <m/>
    <s v="Achmad Indrawanto"/>
    <m/>
    <s v="SOFTWARE"/>
    <m/>
    <s v="HP"/>
    <m/>
    <s v="TPN I120"/>
    <m/>
    <s v="JASA71"/>
    <m/>
    <s v="JASA REPAIR"/>
    <m/>
    <n v="0"/>
    <m/>
    <n v="1"/>
    <m/>
    <n v="180000"/>
    <m/>
    <n v="180000"/>
    <m/>
    <s v="BAGUS SOLIHIN SALES RETAIL"/>
    <m/>
    <s v="N/A"/>
  </r>
  <r>
    <m/>
    <x v="23"/>
    <m/>
    <s v="MF-FP.25228"/>
    <m/>
    <s v="MF-ST.22722"/>
    <m/>
    <d v="2026-05-16T00:00:00"/>
    <m/>
    <s v="Member Reguler"/>
    <m/>
    <s v="C.03070"/>
    <m/>
    <s v="Arifin"/>
    <m/>
    <s v="WAHYU PRATAMA"/>
    <m/>
    <s v="SERVICE LAPTOP"/>
    <m/>
    <x v="2"/>
    <m/>
    <s v="ABDUL MUNAJAT"/>
    <m/>
    <x v="3"/>
    <m/>
    <s v="Achmad Indrawanto"/>
    <m/>
    <s v="SOFTWARE"/>
    <m/>
    <s v="HP"/>
    <m/>
    <s v="TPN I120"/>
    <m/>
    <s v="107200"/>
    <m/>
    <s v="LUNA DATA CABLE TYPE-C CB-2EC"/>
    <m/>
    <n v="9500"/>
    <m/>
    <n v="1"/>
    <m/>
    <n v="20000"/>
    <m/>
    <n v="20000"/>
    <m/>
    <s v="BAGUS SOLIHIN SALES RETAIL"/>
    <m/>
    <s v="N/A"/>
  </r>
  <r>
    <m/>
    <x v="23"/>
    <m/>
    <s v="MF-FP.25230"/>
    <m/>
    <s v="MF-ST.22750"/>
    <m/>
    <d v="2026-05-17T00:00:00"/>
    <m/>
    <s v="Member Reguler"/>
    <m/>
    <s v="C.03070"/>
    <m/>
    <s v="Arifin"/>
    <m/>
    <s v="Achmad Indrawanto"/>
    <m/>
    <s v="SERVICE HANDPHONE"/>
    <m/>
    <x v="0"/>
    <m/>
    <s v="EKO RISDIYANTORO JATIMULYA"/>
    <m/>
    <x v="2"/>
    <m/>
    <s v="Achmad Indrawanto"/>
    <m/>
    <s v="SOFTWARE"/>
    <m/>
    <s v="SAMSUNG"/>
    <m/>
    <s v="A20"/>
    <m/>
    <s v="JASA71"/>
    <m/>
    <s v="JASA REPAIR"/>
    <m/>
    <n v="0"/>
    <m/>
    <n v="1"/>
    <m/>
    <n v="80000"/>
    <m/>
    <n v="80000"/>
    <m/>
    <s v="BAGUS SOLIHIN SALES RETAIL"/>
    <m/>
    <s v="N/A"/>
  </r>
  <r>
    <m/>
    <x v="23"/>
    <m/>
    <s v="MF-FP.25231"/>
    <m/>
    <s v="MF-ST.22751"/>
    <m/>
    <d v="2026-05-17T00:00:00"/>
    <m/>
    <s v="Member Reguler"/>
    <m/>
    <s v="C.13342"/>
    <m/>
    <s v="RENDY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AKRP-014"/>
    <m/>
    <s v="RAPA ADAPTOR CHARGER TYPE C 30W CH1080 FST"/>
    <m/>
    <n v="87900"/>
    <m/>
    <n v="1"/>
    <m/>
    <n v="145000"/>
    <m/>
    <n v="145000"/>
    <m/>
    <s v="Achmad Indrawanto"/>
    <m/>
    <s v="N/A"/>
  </r>
  <r>
    <m/>
    <x v="23"/>
    <m/>
    <s v="MF-FP.25235"/>
    <m/>
    <s v="MF-ST.22756"/>
    <m/>
    <d v="2026-05-17T00:00:00"/>
    <m/>
    <s v="Member Reguler"/>
    <m/>
    <s v="MJ01"/>
    <m/>
    <s v="UMUM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0025"/>
    <m/>
    <s v="VIVAN HYDROGEL BASIC CRYSTAL CLEAR VSP01T"/>
    <m/>
    <n v="11151.582562"/>
    <m/>
    <n v="1"/>
    <m/>
    <n v="70000"/>
    <m/>
    <n v="70000"/>
    <m/>
    <m/>
    <m/>
    <s v="N/A"/>
  </r>
  <r>
    <m/>
    <x v="23"/>
    <m/>
    <s v="MF-FP.25233"/>
    <m/>
    <s v="MF-ST.22753"/>
    <m/>
    <d v="2026-05-17T00:00:00"/>
    <m/>
    <s v="Member Reguler"/>
    <m/>
    <s v="C.13343"/>
    <m/>
    <s v="FADIL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CP-01"/>
    <m/>
    <s v="106199"/>
    <m/>
    <s v="M-TECH COOLING PAD CP-01 NC MCP01BL"/>
    <m/>
    <n v="57500"/>
    <m/>
    <n v="1"/>
    <m/>
    <n v="90000"/>
    <m/>
    <n v="90000"/>
    <m/>
    <s v="Achmad Indrawanto"/>
    <m/>
    <s v="N/A"/>
  </r>
  <r>
    <m/>
    <x v="23"/>
    <m/>
    <s v="MF-FP.25239"/>
    <m/>
    <s v="MF-ST.22672"/>
    <m/>
    <d v="2026-05-14T00:00:00"/>
    <m/>
    <s v="Umum"/>
    <m/>
    <s v="C.13306"/>
    <m/>
    <s v="NATALI"/>
    <m/>
    <s v="HANIF"/>
    <m/>
    <s v="SERVICE HANDPHONE"/>
    <m/>
    <x v="0"/>
    <m/>
    <s v="EKO RISDIYANTORO JATIMULYA"/>
    <m/>
    <x v="2"/>
    <m/>
    <s v="Achmad Indrawanto"/>
    <m/>
    <s v="FLEXIBEL CHARGER (PAPAN KONEKTOR)"/>
    <m/>
    <s v="SAMSUNG"/>
    <m/>
    <s v="A33 5G"/>
    <m/>
    <s v="JASA71"/>
    <m/>
    <s v="JASA REPAIR"/>
    <m/>
    <n v="0"/>
    <m/>
    <n v="1"/>
    <m/>
    <n v="480000"/>
    <m/>
    <n v="480000"/>
    <m/>
    <m/>
    <m/>
    <s v="N/A"/>
  </r>
  <r>
    <m/>
    <x v="23"/>
    <m/>
    <s v="MF-FP.25238"/>
    <m/>
    <s v="MF-ST.22707"/>
    <m/>
    <d v="2026-05-15T00:00:00"/>
    <m/>
    <s v="Member Reguler"/>
    <m/>
    <s v="C.13269"/>
    <m/>
    <s v="DEVI"/>
    <m/>
    <s v="HANIF"/>
    <m/>
    <s v="SERVICE HANDPHONE"/>
    <m/>
    <x v="0"/>
    <m/>
    <s v="EKO RISDIYANTORO JATIMULYA"/>
    <m/>
    <x v="2"/>
    <m/>
    <s v="Achmad Indrawanto"/>
    <m/>
    <s v="HARDWARE"/>
    <m/>
    <s v="SAMSUNG"/>
    <m/>
    <s v="Samsung a54"/>
    <m/>
    <s v="JASA71"/>
    <m/>
    <s v="JASA REPAIR"/>
    <m/>
    <n v="0"/>
    <m/>
    <n v="1"/>
    <m/>
    <n v="200000"/>
    <m/>
    <n v="200000"/>
    <m/>
    <s v="Achmad Indrawanto"/>
    <m/>
    <s v="N/A"/>
  </r>
  <r>
    <m/>
    <x v="23"/>
    <m/>
    <s v="MF-FP.25237"/>
    <m/>
    <s v="MF-ST.22706"/>
    <m/>
    <d v="2026-05-15T00:00:00"/>
    <m/>
    <s v="Member Reguler"/>
    <m/>
    <s v="C.05838"/>
    <m/>
    <s v="DANI"/>
    <m/>
    <s v="HANIF"/>
    <m/>
    <s v="SERVICE HANDPHONE"/>
    <m/>
    <x v="0"/>
    <m/>
    <s v="EKO RISDIYANTORO JATIMULYA"/>
    <m/>
    <x v="2"/>
    <m/>
    <s v="Achmad Indrawanto"/>
    <m/>
    <s v="LCD"/>
    <m/>
    <s v="XIAOMI"/>
    <m/>
    <s v="poco m6 4g"/>
    <m/>
    <s v="JASA71"/>
    <m/>
    <s v="JASA REPAIR"/>
    <m/>
    <n v="0"/>
    <m/>
    <n v="1"/>
    <m/>
    <n v="175000"/>
    <m/>
    <n v="175000"/>
    <m/>
    <s v="Achmad Indrawanto"/>
    <m/>
    <s v="N/A"/>
  </r>
  <r>
    <m/>
    <x v="23"/>
    <m/>
    <s v="MF-FP.25234"/>
    <m/>
    <s v="MF-ST.22755"/>
    <m/>
    <d v="2026-05-17T00:00:00"/>
    <m/>
    <s v="Member Reguler"/>
    <m/>
    <s v="C.13345"/>
    <m/>
    <s v="PUTRA"/>
    <m/>
    <s v="Achmad Indrawanto"/>
    <m/>
    <s v="SERVICE HANDPHONE"/>
    <m/>
    <x v="0"/>
    <m/>
    <s v="BOY RIKARDO"/>
    <m/>
    <x v="8"/>
    <m/>
    <s v="Achmad Indrawanto"/>
    <m/>
    <s v="BATERAI"/>
    <m/>
    <s v="INFINIX"/>
    <m/>
    <s v="note 11"/>
    <m/>
    <s v="JASA71"/>
    <m/>
    <s v="JASA REPAIR"/>
    <m/>
    <n v="0"/>
    <m/>
    <n v="1"/>
    <m/>
    <n v="160000"/>
    <m/>
    <n v="160000"/>
    <m/>
    <s v="Achmad Indrawanto"/>
    <m/>
    <s v="N/A"/>
  </r>
  <r>
    <m/>
    <x v="23"/>
    <m/>
    <s v="MF-FP.25234"/>
    <m/>
    <s v="MF-ST.22755"/>
    <m/>
    <d v="2026-05-17T00:00:00"/>
    <m/>
    <s v="Member Reguler"/>
    <m/>
    <s v="C.13345"/>
    <m/>
    <s v="PUTRA"/>
    <m/>
    <s v="Achmad Indrawanto"/>
    <m/>
    <s v="SERVICE HANDPHONE"/>
    <m/>
    <x v="1"/>
    <m/>
    <s v="BOY RIKARDO"/>
    <m/>
    <x v="8"/>
    <m/>
    <s v="Achmad Indrawanto"/>
    <m/>
    <s v="BATERAI"/>
    <m/>
    <s v="INFINIX"/>
    <m/>
    <s v="note 11"/>
    <m/>
    <s v="104605"/>
    <m/>
    <s v="BATER INF NOTE 11/NOTE 12 X663 BL49KX"/>
    <m/>
    <n v="95668.042297000007"/>
    <m/>
    <n v="1"/>
    <m/>
    <n v="120000"/>
    <m/>
    <n v="120000"/>
    <m/>
    <s v="Achmad Indrawanto"/>
    <m/>
    <s v="N/A"/>
  </r>
  <r>
    <m/>
    <x v="23"/>
    <m/>
    <s v="MF-FP.25234"/>
    <m/>
    <s v="MF-ST.22755"/>
    <m/>
    <d v="2026-05-17T00:00:00"/>
    <m/>
    <s v="Member Reguler"/>
    <m/>
    <s v="C.13345"/>
    <m/>
    <s v="PUTRA"/>
    <m/>
    <s v="Achmad Indrawanto"/>
    <m/>
    <s v="SERVICE HANDPHONE"/>
    <m/>
    <x v="2"/>
    <m/>
    <s v="BOY RIKARDO"/>
    <m/>
    <x v="8"/>
    <m/>
    <s v="Achmad Indrawanto"/>
    <m/>
    <s v="BATERAI"/>
    <m/>
    <s v="INFINIX"/>
    <m/>
    <s v="note 11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3"/>
    <m/>
    <s v="MF-FP.25237"/>
    <m/>
    <s v="MF-ST.22706"/>
    <m/>
    <d v="2026-05-15T00:00:00"/>
    <m/>
    <s v="Member Reguler"/>
    <m/>
    <s v="C.05838"/>
    <m/>
    <s v="DANI"/>
    <m/>
    <s v="HANIF"/>
    <m/>
    <s v="SERVICE HANDPHONE"/>
    <m/>
    <x v="1"/>
    <m/>
    <s v="EKO RISDIYANTORO JATIMULYA"/>
    <m/>
    <x v="2"/>
    <m/>
    <s v="Achmad Indrawanto"/>
    <m/>
    <s v="LCD"/>
    <m/>
    <s v="XIAOMI"/>
    <m/>
    <s v="poco m6 4g"/>
    <m/>
    <s v="103911"/>
    <m/>
    <s v="LCD.. XIO REDMI 12/REDMI 13/POCO M6 4G/M6 PLUS 5G"/>
    <m/>
    <n v="139632.44572799999"/>
    <m/>
    <n v="1"/>
    <m/>
    <n v="200000"/>
    <m/>
    <n v="200000"/>
    <m/>
    <s v="Achmad Indrawanto"/>
    <m/>
    <s v="N/A"/>
  </r>
  <r>
    <m/>
    <x v="23"/>
    <m/>
    <s v="MF-FP.25237"/>
    <m/>
    <s v="MF-ST.22706"/>
    <m/>
    <d v="2026-05-15T00:00:00"/>
    <m/>
    <s v="Member Reguler"/>
    <m/>
    <s v="C.05838"/>
    <m/>
    <s v="DANI"/>
    <m/>
    <s v="HANIF"/>
    <m/>
    <s v="SERVICE HANDPHONE"/>
    <m/>
    <x v="2"/>
    <m/>
    <s v="EKO RISDIYANTORO JATIMULYA"/>
    <m/>
    <x v="2"/>
    <m/>
    <s v="Achmad Indrawanto"/>
    <m/>
    <s v="LCD"/>
    <m/>
    <s v="XIAOMI"/>
    <m/>
    <s v="poco m6 4g"/>
    <m/>
    <s v="100025"/>
    <m/>
    <s v="VIVAN HYDROGEL BASIC CRYSTAL CLEAR VSP01T"/>
    <m/>
    <n v="11151.582562"/>
    <m/>
    <n v="1"/>
    <m/>
    <n v="75000"/>
    <m/>
    <n v="75000"/>
    <m/>
    <s v="Achmad Indrawanto"/>
    <m/>
    <s v="N/A"/>
  </r>
  <r>
    <m/>
    <x v="23"/>
    <m/>
    <s v="MF-FP.25247"/>
    <m/>
    <s v="MF-ST.22760"/>
    <m/>
    <d v="2026-05-17T00:00:00"/>
    <m/>
    <s v="Umum"/>
    <m/>
    <s v="C.04665"/>
    <m/>
    <s v="Dhebbi"/>
    <m/>
    <s v="Achmad Indrawanto"/>
    <m/>
    <s v="SERVICE HANDPHONE"/>
    <m/>
    <x v="0"/>
    <m/>
    <s v="YUVI NOFERIANTO"/>
    <m/>
    <x v="4"/>
    <m/>
    <s v="WAHYU PRATAMA"/>
    <m/>
    <s v="LCD"/>
    <m/>
    <s v="SAMSUNG"/>
    <m/>
    <s v="Samsung a30s"/>
    <m/>
    <s v="JASA71"/>
    <m/>
    <s v="JASA REPAIR"/>
    <m/>
    <n v="0"/>
    <m/>
    <n v="1"/>
    <m/>
    <n v="210000"/>
    <m/>
    <n v="210000"/>
    <m/>
    <m/>
    <m/>
    <s v="N/A"/>
  </r>
  <r>
    <m/>
    <x v="23"/>
    <m/>
    <s v="MF-FP.25247"/>
    <m/>
    <s v="MF-ST.22760"/>
    <m/>
    <d v="2026-05-17T00:00:00"/>
    <m/>
    <s v="Umum"/>
    <m/>
    <s v="C.04665"/>
    <m/>
    <s v="Dhebbi"/>
    <m/>
    <s v="Achmad Indrawanto"/>
    <m/>
    <s v="SERVICE HANDPHONE"/>
    <m/>
    <x v="1"/>
    <m/>
    <s v="YUVI NOFERIANTO"/>
    <m/>
    <x v="4"/>
    <m/>
    <s v="WAHYU PRATAMA"/>
    <m/>
    <s v="LCD"/>
    <m/>
    <s v="SAMSUNG"/>
    <m/>
    <s v="Samsung a30s"/>
    <m/>
    <s v="100234"/>
    <m/>
    <s v="LCD.. SAM A30S A307 B FST"/>
    <m/>
    <n v="159619.04761899999"/>
    <m/>
    <n v="1"/>
    <m/>
    <n v="180000"/>
    <m/>
    <n v="180000"/>
    <m/>
    <m/>
    <m/>
    <s v="N/A"/>
  </r>
  <r>
    <m/>
    <x v="23"/>
    <m/>
    <s v="MF-FP.25247"/>
    <m/>
    <s v="MF-ST.22760"/>
    <m/>
    <d v="2026-05-17T00:00:00"/>
    <m/>
    <s v="Umum"/>
    <m/>
    <s v="C.04665"/>
    <m/>
    <s v="Dhebbi"/>
    <m/>
    <s v="Achmad Indrawanto"/>
    <m/>
    <s v="SERVICE HANDPHONE"/>
    <m/>
    <x v="2"/>
    <m/>
    <s v="YUVI NOFERIANTO"/>
    <m/>
    <x v="4"/>
    <m/>
    <s v="WAHYU PRATAMA"/>
    <m/>
    <s v="LCD"/>
    <m/>
    <s v="SAMSUNG"/>
    <m/>
    <s v="Samsung a30s"/>
    <m/>
    <s v="107200"/>
    <m/>
    <s v="LUNA DATA CABLE TYPE-C CB-2EC"/>
    <m/>
    <n v="9500"/>
    <m/>
    <n v="1"/>
    <m/>
    <n v="10000"/>
    <m/>
    <n v="10000"/>
    <m/>
    <m/>
    <m/>
    <s v="N/A"/>
  </r>
  <r>
    <m/>
    <x v="23"/>
    <m/>
    <s v="MF-FP.25246"/>
    <m/>
    <s v="MF-ST.22716"/>
    <m/>
    <d v="2026-05-16T00:00:00"/>
    <m/>
    <s v="Umum"/>
    <m/>
    <s v="C.13325"/>
    <m/>
    <s v="HARIYADI"/>
    <m/>
    <s v="WAHYU PRATAMA"/>
    <m/>
    <s v="SERVICE LAPTOP"/>
    <m/>
    <x v="0"/>
    <m/>
    <s v="BOY RIKARDO"/>
    <m/>
    <x v="8"/>
    <m/>
    <s v="WAHYU PRATAMA"/>
    <m/>
    <s v="KEYBOARD"/>
    <m/>
    <s v="LENOVO"/>
    <m/>
    <s v="X270"/>
    <m/>
    <s v="JASA71"/>
    <m/>
    <s v="JASA REPAIR"/>
    <m/>
    <n v="0"/>
    <m/>
    <n v="1"/>
    <m/>
    <n v="659000"/>
    <m/>
    <n v="659000"/>
    <m/>
    <m/>
    <m/>
    <s v="N/A"/>
  </r>
  <r>
    <m/>
    <x v="23"/>
    <m/>
    <s v="MF-FP.25246"/>
    <m/>
    <s v="MF-ST.22716"/>
    <m/>
    <d v="2026-05-16T00:00:00"/>
    <m/>
    <s v="Umum"/>
    <m/>
    <s v="C.13325"/>
    <m/>
    <s v="HARIYADI"/>
    <m/>
    <s v="WAHYU PRATAMA"/>
    <m/>
    <s v="SERVICE LAPTOP"/>
    <m/>
    <x v="2"/>
    <m/>
    <s v="BOY RIKARDO"/>
    <m/>
    <x v="8"/>
    <m/>
    <s v="WAHYU PRATAMA"/>
    <m/>
    <s v="KEYBOARD"/>
    <m/>
    <s v="LENOVO"/>
    <m/>
    <s v="X270"/>
    <m/>
    <s v="107200"/>
    <m/>
    <s v="LUNA DATA CABLE TYPE-C CB-2EC"/>
    <m/>
    <n v="9500"/>
    <m/>
    <n v="1"/>
    <m/>
    <n v="10000"/>
    <m/>
    <n v="10000"/>
    <m/>
    <m/>
    <m/>
    <s v="N/A"/>
  </r>
  <r>
    <m/>
    <x v="23"/>
    <m/>
    <s v="MF-FP.25246"/>
    <m/>
    <s v="MF-ST.22716"/>
    <m/>
    <d v="2026-05-16T00:00:00"/>
    <m/>
    <s v="Umum"/>
    <m/>
    <s v="C.13325"/>
    <m/>
    <s v="HARIYADI"/>
    <m/>
    <s v="WAHYU PRATAMA"/>
    <m/>
    <s v="SERVICE LAPTOP"/>
    <m/>
    <x v="1"/>
    <m/>
    <s v="BOY RIKARDO"/>
    <m/>
    <x v="8"/>
    <m/>
    <s v="WAHYU PRATAMA"/>
    <m/>
    <s v="KEYBOARD"/>
    <m/>
    <s v="LENOVO"/>
    <m/>
    <s v="X270"/>
    <m/>
    <s v="103565"/>
    <m/>
    <s v="SPKR LPT LNV THINKPAD X230S X240 X240S X250 X260 X270"/>
    <m/>
    <n v="128200"/>
    <m/>
    <n v="1"/>
    <m/>
    <n v="140000"/>
    <m/>
    <n v="140000"/>
    <m/>
    <m/>
    <m/>
    <s v="N/A"/>
  </r>
  <r>
    <m/>
    <x v="23"/>
    <m/>
    <s v="MF-FP.25249"/>
    <m/>
    <s v="MF-ST.22769"/>
    <m/>
    <d v="2026-05-17T00:00:00"/>
    <m/>
    <s v="Umum"/>
    <m/>
    <s v="C.00000"/>
    <m/>
    <s v="Pelanggan Umum"/>
    <m/>
    <s v="WAHYU PRATAMA"/>
    <m/>
    <s v="PENJUALAN AKSESORIS"/>
    <m/>
    <x v="1"/>
    <m/>
    <s v="N/A"/>
    <m/>
    <x v="5"/>
    <m/>
    <s v="WAHYU PRATAMA"/>
    <m/>
    <s v="REPAIR"/>
    <m/>
    <s v="SAMSUNG"/>
    <m/>
    <s v="SAM"/>
    <m/>
    <s v="103652"/>
    <m/>
    <s v="ADPTR LPT ACR 19V 2.37A"/>
    <m/>
    <n v="75471.538098999998"/>
    <m/>
    <n v="1"/>
    <m/>
    <n v="250000"/>
    <m/>
    <n v="250000"/>
    <m/>
    <m/>
    <m/>
    <s v="N/A"/>
  </r>
  <r>
    <m/>
    <x v="23"/>
    <m/>
    <s v="MF-FP.25250"/>
    <m/>
    <s v="MF-ST.22771"/>
    <m/>
    <d v="2026-05-17T00:00:00"/>
    <m/>
    <s v="Umum"/>
    <m/>
    <s v="C.13355"/>
    <m/>
    <s v="CHAMELIA"/>
    <m/>
    <s v="WAHYU PRATAMA"/>
    <m/>
    <s v="SERVICE HANDPHONE"/>
    <m/>
    <x v="0"/>
    <m/>
    <s v="YUVI NOFERIANTO"/>
    <m/>
    <x v="4"/>
    <m/>
    <s v="WAHYU PRATAMA"/>
    <m/>
    <s v="LCD"/>
    <m/>
    <s v="APPLE"/>
    <m/>
    <s v="IPH 12"/>
    <m/>
    <s v="JASA71"/>
    <m/>
    <s v="JASA REPAIR"/>
    <m/>
    <n v="0"/>
    <m/>
    <n v="1"/>
    <m/>
    <n v="550000"/>
    <m/>
    <n v="550000"/>
    <m/>
    <m/>
    <m/>
    <s v="N/A"/>
  </r>
  <r>
    <m/>
    <x v="23"/>
    <m/>
    <s v="MF-FP.25236"/>
    <m/>
    <s v="MF-ST.22757"/>
    <m/>
    <d v="2026-05-17T00:00:00"/>
    <m/>
    <s v="Member Reguler"/>
    <m/>
    <s v="C.13346"/>
    <m/>
    <s v="DWI"/>
    <m/>
    <s v="Achmad Indrawanto"/>
    <m/>
    <s v="SERVICE HANDPHONE"/>
    <m/>
    <x v="0"/>
    <m/>
    <s v="EKO RISDIYANTORO JATIMULYA"/>
    <m/>
    <x v="2"/>
    <m/>
    <s v="Achmad Indrawanto"/>
    <m/>
    <s v="BATERAI"/>
    <m/>
    <s v="XIAOMI"/>
    <m/>
    <s v="REDMI 9A"/>
    <m/>
    <s v="JASA71"/>
    <m/>
    <s v="JASA REPAIR"/>
    <m/>
    <n v="0"/>
    <m/>
    <n v="1"/>
    <m/>
    <n v="130000"/>
    <m/>
    <n v="130000"/>
    <m/>
    <s v="Achmad Indrawanto"/>
    <m/>
    <s v="N/A"/>
  </r>
  <r>
    <m/>
    <x v="23"/>
    <m/>
    <s v="MF-FP.25236"/>
    <m/>
    <s v="MF-ST.22757"/>
    <m/>
    <d v="2026-05-17T00:00:00"/>
    <m/>
    <s v="Member Reguler"/>
    <m/>
    <s v="C.13346"/>
    <m/>
    <s v="DWI"/>
    <m/>
    <s v="Achmad Indrawanto"/>
    <m/>
    <s v="SERVICE HANDPHONE"/>
    <m/>
    <x v="2"/>
    <m/>
    <s v="EKO RISDIYANTORO JATIMULYA"/>
    <m/>
    <x v="2"/>
    <m/>
    <s v="Achmad Indrawanto"/>
    <m/>
    <s v="BATERAI"/>
    <m/>
    <s v="XIAOMI"/>
    <m/>
    <s v="REDMI 9A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3"/>
    <m/>
    <s v="MF-FP.25232"/>
    <m/>
    <s v="MF-ST.22752"/>
    <m/>
    <d v="2026-05-17T00:00:00"/>
    <m/>
    <s v="Umum"/>
    <m/>
    <s v="C.13075"/>
    <m/>
    <s v="ZAFRAN"/>
    <m/>
    <s v="Achmad Indrawanto"/>
    <m/>
    <s v="SERVICE HANDPHONE"/>
    <m/>
    <x v="1"/>
    <m/>
    <s v="EKO RISDIYANTORO JATIMULYA"/>
    <m/>
    <x v="2"/>
    <m/>
    <s v="Achmad Indrawanto"/>
    <m/>
    <s v="LCD"/>
    <m/>
    <s v="REALME"/>
    <m/>
    <s v="REALME 7"/>
    <m/>
    <s v="100339"/>
    <m/>
    <s v="LCD.. RLM 6/RLM 7/NARZO 20 PRO B"/>
    <m/>
    <n v="141286.782385"/>
    <m/>
    <n v="1"/>
    <m/>
    <n v="180000"/>
    <m/>
    <n v="180000"/>
    <m/>
    <m/>
    <m/>
    <s v="N/A"/>
  </r>
  <r>
    <m/>
    <x v="23"/>
    <m/>
    <s v="MF-FP.25238"/>
    <m/>
    <s v="MF-ST.22707"/>
    <m/>
    <d v="2026-05-15T00:00:00"/>
    <m/>
    <s v="Member Reguler"/>
    <m/>
    <s v="C.13269"/>
    <m/>
    <s v="DEVI"/>
    <m/>
    <s v="HANIF"/>
    <m/>
    <s v="SERVICE HANDPHONE"/>
    <m/>
    <x v="1"/>
    <m/>
    <s v="EKO RISDIYANTORO JATIMULYA"/>
    <m/>
    <x v="2"/>
    <m/>
    <s v="Achmad Indrawanto"/>
    <m/>
    <s v="HARDWARE"/>
    <m/>
    <s v="SAMSUNG"/>
    <m/>
    <s v="Samsung a54"/>
    <m/>
    <s v="106897"/>
    <m/>
    <s v="KNBTR SAM A24/A34/A54"/>
    <m/>
    <n v="38500"/>
    <m/>
    <n v="1"/>
    <m/>
    <n v="100000"/>
    <m/>
    <n v="100000"/>
    <m/>
    <s v="Achmad Indrawanto"/>
    <m/>
    <s v="N/A"/>
  </r>
  <r>
    <m/>
    <x v="23"/>
    <m/>
    <s v="MF-FP.25238"/>
    <m/>
    <s v="MF-ST.22707"/>
    <m/>
    <d v="2026-05-15T00:00:00"/>
    <m/>
    <s v="Member Reguler"/>
    <m/>
    <s v="C.13269"/>
    <m/>
    <s v="DEVI"/>
    <m/>
    <s v="HANIF"/>
    <m/>
    <s v="SERVICE HANDPHONE"/>
    <m/>
    <x v="2"/>
    <m/>
    <s v="EKO RISDIYANTORO JATIMULYA"/>
    <m/>
    <x v="2"/>
    <m/>
    <s v="Achmad Indrawanto"/>
    <m/>
    <s v="HARDWARE"/>
    <m/>
    <s v="SAMSUNG"/>
    <m/>
    <s v="Samsung a54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3"/>
    <m/>
    <s v="MF-FP.25239"/>
    <m/>
    <s v="MF-ST.22672"/>
    <m/>
    <d v="2026-05-14T00:00:00"/>
    <m/>
    <s v="Umum"/>
    <m/>
    <s v="C.13306"/>
    <m/>
    <s v="NATALI"/>
    <m/>
    <s v="HANIF"/>
    <m/>
    <s v="SERVICE HANDPHONE"/>
    <m/>
    <x v="2"/>
    <m/>
    <s v="EKO RISDIYANTORO JATIMULYA"/>
    <m/>
    <x v="2"/>
    <m/>
    <s v="Achmad Indrawanto"/>
    <m/>
    <s v="FLEXIBEL CHARGER (PAPAN KONEKTOR)"/>
    <m/>
    <s v="SAMSUNG"/>
    <m/>
    <s v="A33 5G"/>
    <m/>
    <s v="107200"/>
    <m/>
    <s v="LUNA DATA CABLE TYPE-C CB-2EC"/>
    <m/>
    <n v="9500"/>
    <m/>
    <n v="1"/>
    <m/>
    <n v="20000"/>
    <m/>
    <n v="20000"/>
    <m/>
    <m/>
    <m/>
    <s v="N/A"/>
  </r>
  <r>
    <m/>
    <x v="23"/>
    <m/>
    <s v="MF-FP.25232"/>
    <m/>
    <s v="MF-ST.22752"/>
    <m/>
    <d v="2026-05-17T00:00:00"/>
    <m/>
    <s v="Umum"/>
    <m/>
    <s v="C.13075"/>
    <m/>
    <s v="ZAFRAN"/>
    <m/>
    <s v="Achmad Indrawanto"/>
    <m/>
    <s v="SERVICE HANDPHONE"/>
    <m/>
    <x v="0"/>
    <m/>
    <s v="EKO RISDIYANTORO JATIMULYA"/>
    <m/>
    <x v="2"/>
    <m/>
    <s v="Achmad Indrawanto"/>
    <m/>
    <s v="LCD"/>
    <m/>
    <s v="REALME"/>
    <m/>
    <s v="REALME 7"/>
    <m/>
    <s v="JASA71"/>
    <m/>
    <s v="JASA REPAIR"/>
    <m/>
    <n v="0"/>
    <m/>
    <n v="1"/>
    <m/>
    <n v="195000"/>
    <m/>
    <n v="195000"/>
    <m/>
    <m/>
    <m/>
    <s v="N/A"/>
  </r>
  <r>
    <m/>
    <x v="23"/>
    <m/>
    <s v="MF-FP.25232"/>
    <m/>
    <s v="MF-ST.22752"/>
    <m/>
    <d v="2026-05-17T00:00:00"/>
    <m/>
    <s v="Umum"/>
    <m/>
    <s v="C.13075"/>
    <m/>
    <s v="ZAFRAN"/>
    <m/>
    <s v="Achmad Indrawanto"/>
    <m/>
    <s v="SERVICE HANDPHONE"/>
    <m/>
    <x v="2"/>
    <m/>
    <s v="EKO RISDIYANTORO JATIMULYA"/>
    <m/>
    <x v="2"/>
    <m/>
    <s v="Achmad Indrawanto"/>
    <m/>
    <s v="LCD"/>
    <m/>
    <s v="REALME"/>
    <m/>
    <s v="REALME 7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23"/>
    <m/>
    <s v="MF-FP.25240"/>
    <m/>
    <s v="MF-ST.22759"/>
    <m/>
    <d v="2026-05-17T00:00:00"/>
    <m/>
    <s v="Member Reguler"/>
    <m/>
    <s v="C.13348"/>
    <m/>
    <s v="ANDRE"/>
    <m/>
    <s v="Achmad Indrawanto"/>
    <m/>
    <s v="SERVICE HANDPHONE"/>
    <m/>
    <x v="0"/>
    <m/>
    <s v="EKO RISDIYANTORO JATIMULYA"/>
    <m/>
    <x v="2"/>
    <m/>
    <s v="Achmad Indrawanto"/>
    <m/>
    <s v="KONEKTOR CHARGER"/>
    <m/>
    <s v="XIAOMI"/>
    <m/>
    <s v="redmi note 12 4g"/>
    <m/>
    <s v="JASA71"/>
    <m/>
    <s v="JASA REPAIR"/>
    <m/>
    <n v="0"/>
    <m/>
    <n v="1"/>
    <m/>
    <n v="155000"/>
    <m/>
    <n v="155000"/>
    <m/>
    <s v="Achmad Indrawanto"/>
    <m/>
    <s v="N/A"/>
  </r>
  <r>
    <m/>
    <x v="23"/>
    <m/>
    <s v="MF-FP.25241"/>
    <m/>
    <s v="MF-ST.22762"/>
    <m/>
    <d v="2026-05-17T00:00:00"/>
    <m/>
    <s v="Umum"/>
    <m/>
    <s v="C.00000"/>
    <m/>
    <s v="Pelanggan Umum"/>
    <m/>
    <s v="WAHYU PRATAMA"/>
    <m/>
    <s v="PENJUALAN AKSESORIS"/>
    <m/>
    <x v="2"/>
    <m/>
    <s v="N/A"/>
    <m/>
    <x v="5"/>
    <m/>
    <s v="WAHYU PRATAMA"/>
    <m/>
    <s v="REPAIR"/>
    <m/>
    <s v="SAMSUNG"/>
    <m/>
    <s v="SAM"/>
    <m/>
    <s v="101016"/>
    <m/>
    <s v="KABEL POWER LAPTOP"/>
    <m/>
    <n v="15042.328041999999"/>
    <m/>
    <n v="1"/>
    <m/>
    <n v="50000"/>
    <m/>
    <n v="50000"/>
    <m/>
    <m/>
    <m/>
    <s v="N/A"/>
  </r>
  <r>
    <m/>
    <x v="23"/>
    <m/>
    <s v="MF-FP.25242"/>
    <m/>
    <s v="MF-ST.22602"/>
    <m/>
    <d v="2026-05-11T00:00:00"/>
    <m/>
    <s v="Member Reguler"/>
    <m/>
    <s v="C.05366"/>
    <m/>
    <s v="AGUS DARMONO"/>
    <m/>
    <s v="RIZKI RAMDHAN"/>
    <m/>
    <s v="SERVICE HANDPHONE"/>
    <m/>
    <x v="0"/>
    <m/>
    <s v="EKO RISDIYANTORO JATIMULYA"/>
    <m/>
    <x v="2"/>
    <m/>
    <s v="WAHYU PRATAMA"/>
    <m/>
    <s v="MATI TOTAL"/>
    <m/>
    <s v="SAMSUNG"/>
    <m/>
    <s v="SAMSUNG S23"/>
    <m/>
    <s v="JASA71"/>
    <m/>
    <s v="JASA REPAIR"/>
    <m/>
    <n v="0"/>
    <m/>
    <n v="1"/>
    <m/>
    <n v="2190000"/>
    <m/>
    <n v="2190000"/>
    <m/>
    <s v="Achmad Indrawanto"/>
    <m/>
    <s v="N/A"/>
  </r>
  <r>
    <m/>
    <x v="23"/>
    <m/>
    <s v="MF-FP.25242"/>
    <m/>
    <s v="MF-ST.22602"/>
    <m/>
    <d v="2026-05-11T00:00:00"/>
    <m/>
    <s v="Member Reguler"/>
    <m/>
    <s v="C.05366"/>
    <m/>
    <s v="AGUS DARMONO"/>
    <m/>
    <s v="RIZKI RAMDHAN"/>
    <m/>
    <s v="SERVICE HANDPHONE"/>
    <m/>
    <x v="2"/>
    <m/>
    <s v="EKO RISDIYANTORO JATIMULYA"/>
    <m/>
    <x v="2"/>
    <m/>
    <s v="WAHYU PRATAMA"/>
    <m/>
    <s v="MATI TOTAL"/>
    <m/>
    <s v="SAMSUNG"/>
    <m/>
    <s v="SAMSUNG S23"/>
    <m/>
    <s v="107200"/>
    <m/>
    <s v="LUNA DATA CABLE TYPE-C CB-2EC"/>
    <m/>
    <n v="9500"/>
    <m/>
    <n v="1"/>
    <m/>
    <n v="10000"/>
    <m/>
    <n v="10000"/>
    <m/>
    <s v="Achmad Indrawanto"/>
    <m/>
    <s v="N/A"/>
  </r>
  <r>
    <m/>
    <x v="23"/>
    <m/>
    <s v="MF-FP.25245"/>
    <m/>
    <s v="MF-ST.22761"/>
    <m/>
    <d v="2026-05-17T00:00:00"/>
    <m/>
    <s v="Umum"/>
    <m/>
    <s v="C.13350"/>
    <m/>
    <s v="NIZAR"/>
    <m/>
    <s v="WAHYU PRATAMA"/>
    <m/>
    <s v="SERVICE HANDPHONE"/>
    <m/>
    <x v="0"/>
    <m/>
    <s v="YUVI NOFERIANTO"/>
    <m/>
    <x v="4"/>
    <m/>
    <s v="WAHYU PRATAMA"/>
    <m/>
    <s v="REPAIR"/>
    <m/>
    <s v="XIAOMI"/>
    <m/>
    <s v="POCO X6 5G"/>
    <m/>
    <s v="JASA71"/>
    <m/>
    <s v="JASA REPAIR"/>
    <m/>
    <n v="0"/>
    <m/>
    <n v="1"/>
    <m/>
    <n v="190000"/>
    <m/>
    <n v="190000"/>
    <m/>
    <m/>
    <m/>
    <s v="N/A"/>
  </r>
  <r>
    <m/>
    <x v="23"/>
    <m/>
    <s v="MF-FP.25243"/>
    <m/>
    <s v="MF-ST.22764"/>
    <m/>
    <d v="2026-05-17T00:00:00"/>
    <m/>
    <s v="Umum"/>
    <m/>
    <s v="C.06356"/>
    <m/>
    <s v="ANGGRAINI DWI ASTUTI"/>
    <m/>
    <s v="WAHYU PRATAMA"/>
    <m/>
    <s v="SERVICE LAPTOP"/>
    <m/>
    <x v="0"/>
    <m/>
    <s v="ARIFIN SANTOSO JATIMULYA"/>
    <m/>
    <x v="6"/>
    <m/>
    <s v="WAHYU PRATAMA"/>
    <m/>
    <s v="SSD"/>
    <m/>
    <s v="HP"/>
    <m/>
    <s v="HP 14S fq"/>
    <m/>
    <s v="JASA71"/>
    <m/>
    <s v="JASA REPAIR"/>
    <m/>
    <n v="0"/>
    <m/>
    <n v="1"/>
    <m/>
    <n v="540000"/>
    <m/>
    <n v="540000"/>
    <m/>
    <m/>
    <m/>
    <s v="N/A"/>
  </r>
  <r>
    <m/>
    <x v="23"/>
    <m/>
    <s v="MF-FP.25243"/>
    <m/>
    <s v="MF-ST.22764"/>
    <m/>
    <d v="2026-05-17T00:00:00"/>
    <m/>
    <s v="Umum"/>
    <m/>
    <s v="C.06356"/>
    <m/>
    <s v="ANGGRAINI DWI ASTUTI"/>
    <m/>
    <s v="WAHYU PRATAMA"/>
    <m/>
    <s v="SERVICE LAPTOP"/>
    <m/>
    <x v="1"/>
    <m/>
    <s v="ARIFIN SANTOSO JATIMULYA"/>
    <m/>
    <x v="6"/>
    <m/>
    <s v="WAHYU PRATAMA"/>
    <m/>
    <s v="SSD"/>
    <m/>
    <s v="HP"/>
    <m/>
    <s v="HP 14S fq"/>
    <m/>
    <s v="105564"/>
    <m/>
    <s v="VGEN SSD M2 NVME GEN3 HYPER 256GB"/>
    <m/>
    <n v="821335.62145400001"/>
    <m/>
    <n v="1"/>
    <m/>
    <n v="1150000"/>
    <m/>
    <n v="1150000"/>
    <m/>
    <m/>
    <m/>
    <s v="N/A"/>
  </r>
  <r>
    <m/>
    <x v="23"/>
    <m/>
    <s v="MF-FP.25243"/>
    <m/>
    <s v="MF-ST.22764"/>
    <m/>
    <d v="2026-05-17T00:00:00"/>
    <m/>
    <s v="Umum"/>
    <m/>
    <s v="C.06356"/>
    <m/>
    <s v="ANGGRAINI DWI ASTUTI"/>
    <m/>
    <s v="WAHYU PRATAMA"/>
    <m/>
    <s v="SERVICE LAPTOP"/>
    <m/>
    <x v="2"/>
    <m/>
    <s v="ARIFIN SANTOSO JATIMULYA"/>
    <m/>
    <x v="6"/>
    <m/>
    <s v="WAHYU PRATAMA"/>
    <m/>
    <s v="SSD"/>
    <m/>
    <s v="HP"/>
    <m/>
    <s v="HP 14S fq"/>
    <m/>
    <s v="107200"/>
    <m/>
    <s v="LUNA DATA CABLE TYPE-C CB-2EC"/>
    <m/>
    <n v="9500"/>
    <m/>
    <n v="1"/>
    <m/>
    <n v="10000"/>
    <m/>
    <n v="10000"/>
    <m/>
    <m/>
    <m/>
    <s v="N/A"/>
  </r>
  <r>
    <m/>
    <x v="23"/>
    <m/>
    <s v="MF-FP.25244"/>
    <m/>
    <s v="MF-ST.22748"/>
    <m/>
    <d v="2026-05-16T00:00:00"/>
    <m/>
    <s v="Member Reguler"/>
    <m/>
    <s v="C.03786"/>
    <m/>
    <s v="Indra"/>
    <m/>
    <s v="HANIF"/>
    <m/>
    <s v="SERVICE HANDPHONE"/>
    <m/>
    <x v="0"/>
    <m/>
    <s v="YUVI NOFERIANTO"/>
    <m/>
    <x v="4"/>
    <m/>
    <s v="WAHYU PRATAMA"/>
    <m/>
    <s v="HARDWARE"/>
    <m/>
    <s v="XIAOMI"/>
    <m/>
    <s v="redmi note 10"/>
    <m/>
    <s v="JASA71"/>
    <m/>
    <s v="JASA REPAIR"/>
    <m/>
    <n v="0"/>
    <m/>
    <n v="1"/>
    <m/>
    <n v="280000"/>
    <m/>
    <n v="280000"/>
    <m/>
    <s v="CHANDRA PRADITYA GUNAWAN"/>
    <m/>
    <s v="N/A"/>
  </r>
  <r>
    <m/>
    <x v="23"/>
    <m/>
    <s v="MF-FP.25244"/>
    <m/>
    <s v="MF-ST.22748"/>
    <m/>
    <d v="2026-05-16T00:00:00"/>
    <m/>
    <s v="Member Reguler"/>
    <m/>
    <s v="C.03786"/>
    <m/>
    <s v="Indra"/>
    <m/>
    <s v="HANIF"/>
    <m/>
    <s v="SERVICE HANDPHONE"/>
    <m/>
    <x v="1"/>
    <m/>
    <s v="YUVI NOFERIANTO"/>
    <m/>
    <x v="4"/>
    <m/>
    <s v="WAHYU PRATAMA"/>
    <m/>
    <s v="HARDWARE"/>
    <m/>
    <s v="XIAOMI"/>
    <m/>
    <s v="redmi note 10"/>
    <m/>
    <s v="100238"/>
    <m/>
    <s v="LCD.. XIO REDMI NOTE 10 4G/REDMI NOTE 10S B"/>
    <m/>
    <n v="140001"/>
    <m/>
    <n v="1"/>
    <m/>
    <n v="160000"/>
    <m/>
    <n v="160000"/>
    <m/>
    <s v="CHANDRA PRADITYA GUNAWAN"/>
    <m/>
    <s v="N/A"/>
  </r>
  <r>
    <m/>
    <x v="23"/>
    <m/>
    <s v="MF-FP.25244"/>
    <m/>
    <s v="MF-ST.22748"/>
    <m/>
    <d v="2026-05-16T00:00:00"/>
    <m/>
    <s v="Member Reguler"/>
    <m/>
    <s v="C.03786"/>
    <m/>
    <s v="Indra"/>
    <m/>
    <s v="HANIF"/>
    <m/>
    <s v="SERVICE HANDPHONE"/>
    <m/>
    <x v="2"/>
    <m/>
    <s v="YUVI NOFERIANTO"/>
    <m/>
    <x v="4"/>
    <m/>
    <s v="WAHYU PRATAMA"/>
    <m/>
    <s v="HARDWARE"/>
    <m/>
    <s v="XIAOMI"/>
    <m/>
    <s v="redmi note 10"/>
    <m/>
    <s v="107200"/>
    <m/>
    <s v="LUNA DATA CABLE TYPE-C CB-2EC"/>
    <m/>
    <n v="9500"/>
    <m/>
    <n v="1"/>
    <m/>
    <n v="10000"/>
    <m/>
    <n v="10000"/>
    <m/>
    <s v="CHANDRA PRADITYA GUNAWAN"/>
    <m/>
    <s v="N/A"/>
  </r>
  <r>
    <m/>
    <x v="23"/>
    <m/>
    <s v="MF-FP.25245"/>
    <m/>
    <s v="MF-ST.22761"/>
    <m/>
    <d v="2026-05-17T00:00:00"/>
    <m/>
    <s v="Umum"/>
    <m/>
    <s v="C.13350"/>
    <m/>
    <s v="NIZAR"/>
    <m/>
    <s v="WAHYU PRATAMA"/>
    <m/>
    <s v="SERVICE HANDPHONE"/>
    <m/>
    <x v="2"/>
    <m/>
    <s v="YUVI NOFERIANTO"/>
    <m/>
    <x v="4"/>
    <m/>
    <s v="WAHYU PRATAMA"/>
    <m/>
    <s v="REPAIR"/>
    <m/>
    <s v="XIAOMI"/>
    <m/>
    <s v="POCO X6 5G"/>
    <m/>
    <s v="107200"/>
    <m/>
    <s v="LUNA DATA CABLE TYPE-C CB-2EC"/>
    <m/>
    <n v="9500"/>
    <m/>
    <n v="1"/>
    <m/>
    <n v="10000"/>
    <m/>
    <n v="10000"/>
    <m/>
    <m/>
    <m/>
    <s v="N/A"/>
  </r>
  <r>
    <m/>
    <x v="23"/>
    <m/>
    <s v="MF-FP.25248"/>
    <m/>
    <s v="MF-ST.22768"/>
    <m/>
    <d v="2026-05-17T00:00:00"/>
    <m/>
    <s v="Umum"/>
    <m/>
    <s v="C.00000"/>
    <m/>
    <s v="Pelanggan Umum"/>
    <m/>
    <s v="WAHYU PRATAMA"/>
    <m/>
    <s v="PENJUALAN AKSESORIS"/>
    <m/>
    <x v="2"/>
    <m/>
    <s v="N/A"/>
    <m/>
    <x v="5"/>
    <m/>
    <s v="WAHYU PRATAMA"/>
    <m/>
    <s v="IC TOUCHSCREEN"/>
    <m/>
    <s v="SAMSUNG"/>
    <m/>
    <s v="DAS"/>
    <m/>
    <s v="101016"/>
    <m/>
    <s v="KABEL POWER LAPTOP"/>
    <m/>
    <n v="15042.328041999999"/>
    <m/>
    <n v="1"/>
    <m/>
    <n v="50000"/>
    <m/>
    <n v="50000"/>
    <m/>
    <m/>
    <m/>
    <s v="N/A"/>
  </r>
  <r>
    <m/>
    <x v="23"/>
    <m/>
    <s v="MF-FP.25250"/>
    <m/>
    <s v="MF-ST.22771"/>
    <m/>
    <d v="2026-05-17T00:00:00"/>
    <m/>
    <s v="Umum"/>
    <m/>
    <s v="C.13355"/>
    <m/>
    <s v="CHAMELIA"/>
    <m/>
    <s v="WAHYU PRATAMA"/>
    <m/>
    <s v="SERVICE HANDPHONE"/>
    <m/>
    <x v="1"/>
    <m/>
    <s v="YUVI NOFERIANTO"/>
    <m/>
    <x v="4"/>
    <m/>
    <s v="WAHYU PRATAMA"/>
    <m/>
    <s v="LCD"/>
    <m/>
    <s v="APPLE"/>
    <m/>
    <s v="IPH 12"/>
    <m/>
    <s v="106331"/>
    <m/>
    <s v="LCD.. IPH 12/IPH 12 PRO INCEL B"/>
    <m/>
    <n v="265000"/>
    <m/>
    <n v="1"/>
    <m/>
    <n v="340000"/>
    <m/>
    <n v="340000"/>
    <m/>
    <m/>
    <m/>
    <s v="N/A"/>
  </r>
  <r>
    <m/>
    <x v="23"/>
    <m/>
    <s v="MF-FP.25250"/>
    <m/>
    <s v="MF-ST.22771"/>
    <m/>
    <d v="2026-05-17T00:00:00"/>
    <m/>
    <s v="Umum"/>
    <m/>
    <s v="C.13355"/>
    <m/>
    <s v="CHAMELIA"/>
    <m/>
    <s v="WAHYU PRATAMA"/>
    <m/>
    <s v="SERVICE HANDPHONE"/>
    <m/>
    <x v="2"/>
    <m/>
    <s v="YUVI NOFERIANTO"/>
    <m/>
    <x v="4"/>
    <m/>
    <s v="WAHYU PRATAMA"/>
    <m/>
    <s v="LCD"/>
    <m/>
    <s v="APPLE"/>
    <m/>
    <s v="IPH 12"/>
    <m/>
    <s v="107200"/>
    <m/>
    <s v="LUNA DATA CABLE TYPE-C CB-2EC"/>
    <m/>
    <n v="9500"/>
    <m/>
    <n v="1"/>
    <m/>
    <n v="10000"/>
    <m/>
    <n v="10000"/>
    <m/>
    <m/>
    <m/>
    <s v="N/A"/>
  </r>
  <r>
    <m/>
    <x v="23"/>
    <m/>
    <s v="MF-FP.25251"/>
    <m/>
    <s v="MF-ST.22766"/>
    <m/>
    <d v="2026-05-17T00:00:00"/>
    <m/>
    <s v="Umum"/>
    <m/>
    <s v="C.13353"/>
    <m/>
    <s v="WAHAB"/>
    <m/>
    <s v="WAHYU PRATAMA"/>
    <m/>
    <s v="SERVICE LAPTOP"/>
    <m/>
    <x v="0"/>
    <m/>
    <s v="ARIFIN SANTOSO JATIMULYA"/>
    <m/>
    <x v="6"/>
    <m/>
    <s v="WAHYU PRATAMA"/>
    <m/>
    <s v="SOFTWARE"/>
    <m/>
    <s v="ASUS"/>
    <m/>
    <s v="Asus a1400e"/>
    <m/>
    <s v="JASA71"/>
    <m/>
    <s v="JASA REPAIR"/>
    <m/>
    <n v="0"/>
    <m/>
    <n v="1"/>
    <m/>
    <n v="240000"/>
    <m/>
    <n v="240000"/>
    <m/>
    <m/>
    <m/>
    <s v="N/A"/>
  </r>
  <r>
    <m/>
    <x v="23"/>
    <m/>
    <s v="MF-FP.25251"/>
    <m/>
    <s v="MF-ST.22766"/>
    <m/>
    <d v="2026-05-17T00:00:00"/>
    <m/>
    <s v="Umum"/>
    <m/>
    <s v="C.13353"/>
    <m/>
    <s v="WAHAB"/>
    <m/>
    <s v="WAHYU PRATAMA"/>
    <m/>
    <s v="SERVICE LAPTOP"/>
    <m/>
    <x v="2"/>
    <m/>
    <s v="ARIFIN SANTOSO JATIMULYA"/>
    <m/>
    <x v="6"/>
    <m/>
    <s v="WAHYU PRATAMA"/>
    <m/>
    <s v="SOFTWARE"/>
    <m/>
    <s v="ASUS"/>
    <m/>
    <s v="Asus a1400e"/>
    <m/>
    <s v="107200"/>
    <m/>
    <s v="LUNA DATA CABLE TYPE-C CB-2EC"/>
    <m/>
    <n v="9500"/>
    <m/>
    <n v="1"/>
    <m/>
    <n v="10000"/>
    <m/>
    <n v="10000"/>
    <m/>
    <m/>
    <m/>
    <s v="N/A"/>
  </r>
  <r>
    <m/>
    <x v="23"/>
    <m/>
    <s v="MF-FP.25252"/>
    <m/>
    <s v="MF-ST.22763"/>
    <m/>
    <d v="2026-05-17T00:00:00"/>
    <m/>
    <s v="Umum"/>
    <m/>
    <s v="C.13351"/>
    <m/>
    <s v="JONIAS SIREGAR"/>
    <m/>
    <s v="WAHYU PRATAMA"/>
    <m/>
    <s v="SERVICE HANDPHONE"/>
    <m/>
    <x v="0"/>
    <m/>
    <s v="MUSTOFA"/>
    <m/>
    <x v="1"/>
    <m/>
    <s v="WAHYU PRATAMA"/>
    <m/>
    <s v="SOFTWARE"/>
    <m/>
    <s v="SAMSUNG"/>
    <m/>
    <s v="A05S"/>
    <m/>
    <s v="JASA71"/>
    <m/>
    <s v="JASA REPAIR"/>
    <m/>
    <n v="0"/>
    <m/>
    <n v="1"/>
    <m/>
    <n v="190000"/>
    <m/>
    <n v="190000"/>
    <m/>
    <m/>
    <m/>
    <s v="N/A"/>
  </r>
  <r>
    <m/>
    <x v="23"/>
    <m/>
    <s v="MF-FP.25252"/>
    <m/>
    <s v="MF-ST.22763"/>
    <m/>
    <d v="2026-05-17T00:00:00"/>
    <m/>
    <s v="Umum"/>
    <m/>
    <s v="C.13351"/>
    <m/>
    <s v="JONIAS SIREGAR"/>
    <m/>
    <s v="WAHYU PRATAMA"/>
    <m/>
    <s v="SERVICE HANDPHONE"/>
    <m/>
    <x v="2"/>
    <m/>
    <s v="MUSTOFA"/>
    <m/>
    <x v="1"/>
    <m/>
    <s v="WAHYU PRATAMA"/>
    <m/>
    <s v="SOFTWARE"/>
    <m/>
    <s v="SAMSUNG"/>
    <m/>
    <s v="A05S"/>
    <m/>
    <s v="107200"/>
    <m/>
    <s v="LUNA DATA CABLE TYPE-C CB-2EC"/>
    <m/>
    <n v="9500"/>
    <m/>
    <n v="1"/>
    <m/>
    <n v="10000"/>
    <m/>
    <n v="10000"/>
    <m/>
    <m/>
    <m/>
    <s v="N/A"/>
  </r>
  <r>
    <m/>
    <x v="24"/>
    <m/>
    <s v="MF-FP.25253"/>
    <m/>
    <s v="MF-ST.22774"/>
    <m/>
    <d v="2026-05-18T00:00:00"/>
    <m/>
    <s v="Umum"/>
    <m/>
    <s v="C.07137"/>
    <m/>
    <s v="MAS SADAM"/>
    <m/>
    <s v="WAHYU PRATAMA"/>
    <m/>
    <s v="SERVICE HANDPHONE"/>
    <m/>
    <x v="0"/>
    <m/>
    <s v="YUVI NOFERIANTO"/>
    <m/>
    <x v="4"/>
    <m/>
    <s v="WAHYU PRATAMA"/>
    <m/>
    <s v="REPAIR"/>
    <m/>
    <s v="XIAOMI"/>
    <m/>
    <s v="POCO"/>
    <m/>
    <s v="JASA71"/>
    <m/>
    <s v="JASA REPAIR"/>
    <m/>
    <n v="0"/>
    <m/>
    <n v="1"/>
    <m/>
    <n v="35000"/>
    <m/>
    <n v="35000"/>
    <m/>
    <m/>
    <m/>
    <s v="N/A"/>
  </r>
  <r>
    <m/>
    <x v="24"/>
    <m/>
    <s v="MF-FP.25254"/>
    <m/>
    <s v="MF-ST.22777"/>
    <m/>
    <d v="2026-05-18T00:00:00"/>
    <m/>
    <s v="Umum"/>
    <m/>
    <s v="C.13358"/>
    <m/>
    <s v="HASAN"/>
    <m/>
    <s v="WAHYU PRATAMA"/>
    <m/>
    <s v="SERVICE HANDPHONE"/>
    <m/>
    <x v="0"/>
    <m/>
    <s v="YUVI NOFERIANTO"/>
    <m/>
    <x v="4"/>
    <m/>
    <s v="WAHYU PRATAMA"/>
    <m/>
    <s v="LCD"/>
    <m/>
    <s v="SAMSUNG"/>
    <m/>
    <s v="A52S"/>
    <m/>
    <s v="JASA71"/>
    <m/>
    <s v="JASA REPAIR"/>
    <m/>
    <n v="0"/>
    <m/>
    <n v="1"/>
    <m/>
    <n v="540000"/>
    <m/>
    <n v="540000"/>
    <m/>
    <m/>
    <m/>
    <s v="N/A"/>
  </r>
  <r>
    <m/>
    <x v="24"/>
    <m/>
    <s v="MF-FP.25254"/>
    <m/>
    <s v="MF-ST.22777"/>
    <m/>
    <d v="2026-05-18T00:00:00"/>
    <m/>
    <s v="Umum"/>
    <m/>
    <s v="C.13358"/>
    <m/>
    <s v="HASAN"/>
    <m/>
    <s v="WAHYU PRATAMA"/>
    <m/>
    <s v="SERVICE HANDPHONE"/>
    <m/>
    <x v="1"/>
    <m/>
    <s v="YUVI NOFERIANTO"/>
    <m/>
    <x v="4"/>
    <m/>
    <s v="WAHYU PRATAMA"/>
    <m/>
    <s v="LCD"/>
    <m/>
    <s v="SAMSUNG"/>
    <m/>
    <s v="A52S"/>
    <m/>
    <s v="103691"/>
    <m/>
    <s v="LCD.. SAM A52S OLED + FRAME B"/>
    <m/>
    <n v="520000"/>
    <m/>
    <n v="1"/>
    <m/>
    <n v="650000"/>
    <m/>
    <n v="650000"/>
    <m/>
    <m/>
    <m/>
    <s v="N/A"/>
  </r>
  <r>
    <m/>
    <x v="24"/>
    <m/>
    <s v="MF-FP.25254"/>
    <m/>
    <s v="MF-ST.22777"/>
    <m/>
    <d v="2026-05-18T00:00:00"/>
    <m/>
    <s v="Umum"/>
    <m/>
    <s v="C.13358"/>
    <m/>
    <s v="HASAN"/>
    <m/>
    <s v="WAHYU PRATAMA"/>
    <m/>
    <s v="SERVICE HANDPHONE"/>
    <m/>
    <x v="2"/>
    <m/>
    <s v="YUVI NOFERIANTO"/>
    <m/>
    <x v="4"/>
    <m/>
    <s v="WAHYU PRATAMA"/>
    <m/>
    <s v="LCD"/>
    <m/>
    <s v="SAMSUNG"/>
    <m/>
    <s v="A52S"/>
    <m/>
    <s v="107200"/>
    <m/>
    <s v="LUNA DATA CABLE TYPE-C CB-2EC"/>
    <m/>
    <n v="9500"/>
    <m/>
    <n v="1"/>
    <m/>
    <n v="10000"/>
    <m/>
    <n v="10000"/>
    <m/>
    <m/>
    <m/>
    <s v="N/A"/>
  </r>
  <r>
    <m/>
    <x v="24"/>
    <m/>
    <s v="MF-FP.25256"/>
    <m/>
    <m/>
    <m/>
    <m/>
    <m/>
    <m/>
    <m/>
    <s v="C.10714"/>
    <m/>
    <s v="M Solution"/>
    <m/>
    <m/>
    <m/>
    <s v="PENJUALAN CPU"/>
    <m/>
    <x v="5"/>
    <m/>
    <m/>
    <m/>
    <x v="5"/>
    <m/>
    <s v="Achmad Indrawanto"/>
    <m/>
    <m/>
    <m/>
    <m/>
    <m/>
    <m/>
    <m/>
    <s v="107293"/>
    <m/>
    <s v="MSI PRO DESKTOP PC XII"/>
    <m/>
    <n v="60000000"/>
    <m/>
    <n v="6"/>
    <m/>
    <n v="10300000"/>
    <m/>
    <n v="61800000"/>
    <m/>
    <s v="WAHYU PRATAMA"/>
    <m/>
    <s v="N/A"/>
  </r>
  <r>
    <m/>
    <x v="24"/>
    <m/>
    <s v="MF-FP.25255"/>
    <m/>
    <s v="MF-ST.22779"/>
    <m/>
    <d v="2026-05-18T00:00:00"/>
    <m/>
    <s v="Umum"/>
    <m/>
    <s v="C.13282"/>
    <m/>
    <s v="JAFAR"/>
    <m/>
    <s v="WAHYU PRATAMA"/>
    <m/>
    <s v="PENJUALAN AKSESORIS"/>
    <m/>
    <x v="2"/>
    <m/>
    <s v="N/A"/>
    <m/>
    <x v="5"/>
    <m/>
    <s v="WAHYU PRATAMA"/>
    <m/>
    <s v="REPAIR"/>
    <m/>
    <s v="SAMSUNG"/>
    <m/>
    <s v="A51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24"/>
    <m/>
    <s v="MF-FP.25257"/>
    <m/>
    <s v="MF-ST.22780"/>
    <m/>
    <d v="2026-05-18T00:00:00"/>
    <m/>
    <s v="Member Reguler"/>
    <m/>
    <s v="C.09418"/>
    <m/>
    <s v="AMEL"/>
    <m/>
    <s v="WAHYU PRATAMA"/>
    <m/>
    <s v="SERVICE HANDPHONE"/>
    <m/>
    <x v="2"/>
    <m/>
    <s v="MUSTOFA"/>
    <m/>
    <x v="1"/>
    <m/>
    <s v="WAHYU PRATAMA"/>
    <m/>
    <s v="LCD"/>
    <m/>
    <s v="SAMSUNG"/>
    <m/>
    <s v="A80"/>
    <m/>
    <s v="107200"/>
    <m/>
    <s v="LUNA DATA CABLE TYPE-C CB-2EC"/>
    <m/>
    <n v="9500"/>
    <m/>
    <n v="1"/>
    <m/>
    <n v="10000"/>
    <m/>
    <n v="10000"/>
    <m/>
    <s v="Achmad Indrawanto"/>
    <m/>
    <s v="N/A"/>
  </r>
  <r>
    <m/>
    <x v="24"/>
    <m/>
    <s v="MF-FP.25257"/>
    <m/>
    <s v="MF-ST.22780"/>
    <m/>
    <d v="2026-05-18T00:00:00"/>
    <m/>
    <s v="Member Reguler"/>
    <m/>
    <s v="C.09418"/>
    <m/>
    <s v="AMEL"/>
    <m/>
    <s v="WAHYU PRATAMA"/>
    <m/>
    <s v="SERVICE HANDPHONE"/>
    <m/>
    <x v="0"/>
    <m/>
    <s v="MUSTOFA"/>
    <m/>
    <x v="1"/>
    <m/>
    <s v="WAHYU PRATAMA"/>
    <m/>
    <s v="LCD"/>
    <m/>
    <s v="SAMSUNG"/>
    <m/>
    <s v="A80"/>
    <m/>
    <s v="JASA71"/>
    <m/>
    <s v="JASA REPAIR"/>
    <m/>
    <n v="0"/>
    <m/>
    <n v="1"/>
    <m/>
    <n v="340000"/>
    <m/>
    <n v="340000"/>
    <m/>
    <s v="Achmad Indrawanto"/>
    <m/>
    <s v="N/A"/>
  </r>
  <r>
    <m/>
    <x v="24"/>
    <m/>
    <s v="MF-FP.25257"/>
    <m/>
    <s v="MF-ST.22780"/>
    <m/>
    <d v="2026-05-18T00:00:00"/>
    <m/>
    <s v="Member Reguler"/>
    <m/>
    <s v="C.09418"/>
    <m/>
    <s v="AMEL"/>
    <m/>
    <s v="WAHYU PRATAMA"/>
    <m/>
    <s v="SERVICE HANDPHONE"/>
    <m/>
    <x v="1"/>
    <m/>
    <s v="MUSTOFA"/>
    <m/>
    <x v="1"/>
    <m/>
    <s v="WAHYU PRATAMA"/>
    <m/>
    <s v="LCD"/>
    <m/>
    <s v="SAMSUNG"/>
    <m/>
    <s v="A80"/>
    <m/>
    <s v="106684"/>
    <m/>
    <s v="LCD.. SAM A80 B"/>
    <m/>
    <n v="209947.09645700001"/>
    <m/>
    <n v="1"/>
    <m/>
    <n v="330000"/>
    <m/>
    <n v="330000"/>
    <m/>
    <s v="Achmad Indrawanto"/>
    <m/>
    <s v="N/A"/>
  </r>
  <r>
    <m/>
    <x v="24"/>
    <m/>
    <s v="MF-FP.25257"/>
    <m/>
    <s v="MF-ST.22780"/>
    <m/>
    <d v="2026-05-18T00:00:00"/>
    <m/>
    <s v="Member Reguler"/>
    <m/>
    <s v="C.09418"/>
    <m/>
    <s v="AMEL"/>
    <m/>
    <s v="WAHYU PRATAMA"/>
    <m/>
    <s v="SERVICE HANDPHONE"/>
    <m/>
    <x v="1"/>
    <m/>
    <s v="MUSTOFA"/>
    <m/>
    <x v="1"/>
    <m/>
    <s v="WAHYU PRATAMA"/>
    <m/>
    <s v="LCD"/>
    <m/>
    <s v="SAMSUNG"/>
    <m/>
    <s v="A80"/>
    <m/>
    <s v="101792"/>
    <m/>
    <s v="PERNIK TBL O/F SAM A80 A805"/>
    <m/>
    <n v="16528.159938000001"/>
    <m/>
    <n v="1"/>
    <m/>
    <n v="20000"/>
    <m/>
    <n v="20000"/>
    <m/>
    <s v="Achmad Indrawanto"/>
    <m/>
    <s v="N/A"/>
  </r>
  <r>
    <m/>
    <x v="24"/>
    <m/>
    <s v="MF-FP.25261"/>
    <m/>
    <s v="MF-ST.22783"/>
    <m/>
    <d v="2026-05-18T00:00:00"/>
    <m/>
    <s v="Umum"/>
    <m/>
    <s v="MJ44662"/>
    <m/>
    <s v="AYUB K HERMAWAN"/>
    <m/>
    <s v="Achmad Indrawanto"/>
    <m/>
    <s v="SERVICE HANDPHONE"/>
    <m/>
    <x v="0"/>
    <m/>
    <s v="YUVI NOFERIANTO"/>
    <m/>
    <x v="4"/>
    <m/>
    <s v="Achmad Indrawanto"/>
    <m/>
    <s v="REPAIR"/>
    <m/>
    <s v="SAMSUNG"/>
    <m/>
    <s v="Samsung a71"/>
    <m/>
    <s v="JASA71"/>
    <m/>
    <s v="JASA REPAIR"/>
    <m/>
    <n v="0"/>
    <m/>
    <n v="1"/>
    <m/>
    <n v="170000"/>
    <m/>
    <n v="170000"/>
    <m/>
    <s v="Achmad Indrawanto"/>
    <m/>
    <s v="N/A"/>
  </r>
  <r>
    <m/>
    <x v="24"/>
    <m/>
    <s v="MF-FP.25261"/>
    <m/>
    <s v="MF-ST.22783"/>
    <m/>
    <d v="2026-05-18T00:00:00"/>
    <m/>
    <s v="Umum"/>
    <m/>
    <s v="MJ44662"/>
    <m/>
    <s v="AYUB K HERMAWAN"/>
    <m/>
    <s v="Achmad Indrawanto"/>
    <m/>
    <s v="SERVICE HANDPHONE"/>
    <m/>
    <x v="1"/>
    <m/>
    <s v="YUVI NOFERIANTO"/>
    <m/>
    <x v="4"/>
    <m/>
    <s v="Achmad Indrawanto"/>
    <m/>
    <s v="REPAIR"/>
    <m/>
    <s v="SAMSUNG"/>
    <m/>
    <s v="Samsung a71"/>
    <m/>
    <s v="105826"/>
    <m/>
    <s v="VIBRATOR GETAR SAM A20 A30 A50 A51 A21S A30S A31S A50S"/>
    <m/>
    <n v="42775"/>
    <m/>
    <n v="1"/>
    <m/>
    <n v="60000"/>
    <m/>
    <n v="60000"/>
    <m/>
    <s v="Achmad Indrawanto"/>
    <m/>
    <s v="N/A"/>
  </r>
  <r>
    <m/>
    <x v="24"/>
    <m/>
    <s v="MF-FP.25261"/>
    <m/>
    <s v="MF-ST.22783"/>
    <m/>
    <d v="2026-05-18T00:00:00"/>
    <m/>
    <s v="Umum"/>
    <m/>
    <s v="MJ44662"/>
    <m/>
    <s v="AYUB K HERMAWAN"/>
    <m/>
    <s v="Achmad Indrawanto"/>
    <m/>
    <s v="SERVICE HANDPHONE"/>
    <m/>
    <x v="2"/>
    <m/>
    <s v="YUVI NOFERIANTO"/>
    <m/>
    <x v="4"/>
    <m/>
    <s v="Achmad Indrawanto"/>
    <m/>
    <s v="REPAIR"/>
    <m/>
    <s v="SAMSUNG"/>
    <m/>
    <s v="Samsung a71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4"/>
    <m/>
    <s v="MF-FP.25262"/>
    <m/>
    <s v="MF-ST.22775"/>
    <m/>
    <d v="2026-05-18T00:00:00"/>
    <m/>
    <s v="Umum"/>
    <m/>
    <s v="C.13357"/>
    <m/>
    <s v="SUDIRMAN"/>
    <m/>
    <s v="WAHYU PRATAMA"/>
    <m/>
    <s v="SERVICE HANDPHONE"/>
    <m/>
    <x v="0"/>
    <m/>
    <s v="MUSTOFA"/>
    <m/>
    <x v="1"/>
    <m/>
    <s v="Achmad Indrawanto"/>
    <m/>
    <s v="REPAIR"/>
    <m/>
    <s v="SAMSUNG"/>
    <m/>
    <s v="A72"/>
    <m/>
    <s v="JASA71"/>
    <m/>
    <s v="JASA REPAIR"/>
    <m/>
    <n v="0"/>
    <m/>
    <n v="1"/>
    <m/>
    <n v="30000"/>
    <m/>
    <n v="30000"/>
    <m/>
    <m/>
    <m/>
    <s v="N/A"/>
  </r>
  <r>
    <m/>
    <x v="24"/>
    <m/>
    <s v="MF-FP.25262"/>
    <m/>
    <s v="MF-ST.22775"/>
    <m/>
    <d v="2026-05-18T00:00:00"/>
    <m/>
    <s v="Umum"/>
    <m/>
    <s v="C.13357"/>
    <m/>
    <s v="SUDIRMAN"/>
    <m/>
    <s v="WAHYU PRATAMA"/>
    <m/>
    <s v="SERVICE HANDPHONE"/>
    <m/>
    <x v="2"/>
    <m/>
    <s v="MUSTOFA"/>
    <m/>
    <x v="1"/>
    <m/>
    <s v="Achmad Indrawanto"/>
    <m/>
    <s v="REPAIR"/>
    <m/>
    <s v="SAMSUNG"/>
    <m/>
    <s v="A72"/>
    <m/>
    <s v="107200"/>
    <m/>
    <s v="LUNA DATA CABLE TYPE-C CB-2EC"/>
    <m/>
    <n v="9500"/>
    <m/>
    <n v="1"/>
    <m/>
    <n v="20000"/>
    <m/>
    <n v="20000"/>
    <m/>
    <m/>
    <m/>
    <s v="N/A"/>
  </r>
  <r>
    <m/>
    <x v="24"/>
    <m/>
    <s v="MF-FP.25258"/>
    <m/>
    <s v="MF-ST.22781"/>
    <m/>
    <d v="2026-05-18T00:00:00"/>
    <m/>
    <s v="Umum"/>
    <m/>
    <s v="C.13360"/>
    <m/>
    <s v="TRI"/>
    <m/>
    <s v="WAHYU PRATAMA"/>
    <m/>
    <s v="SERVICE HANDPHONE"/>
    <m/>
    <x v="0"/>
    <m/>
    <s v="YUVI NOFERIANTO"/>
    <m/>
    <x v="4"/>
    <m/>
    <s v="WAHYU PRATAMA"/>
    <m/>
    <s v="BATERAI"/>
    <m/>
    <s v="XIAOMI"/>
    <m/>
    <s v="POCO F3"/>
    <m/>
    <s v="JASA71"/>
    <m/>
    <s v="JASA REPAIR"/>
    <m/>
    <n v="0"/>
    <m/>
    <n v="1"/>
    <m/>
    <n v="200000"/>
    <m/>
    <n v="200000"/>
    <m/>
    <m/>
    <m/>
    <s v="N/A"/>
  </r>
  <r>
    <m/>
    <x v="24"/>
    <m/>
    <s v="MF-FP.25258"/>
    <m/>
    <s v="MF-ST.22781"/>
    <m/>
    <d v="2026-05-18T00:00:00"/>
    <m/>
    <s v="Umum"/>
    <m/>
    <s v="C.13360"/>
    <m/>
    <s v="TRI"/>
    <m/>
    <s v="WAHYU PRATAMA"/>
    <m/>
    <s v="SERVICE HANDPHONE"/>
    <m/>
    <x v="1"/>
    <m/>
    <s v="YUVI NOFERIANTO"/>
    <m/>
    <x v="4"/>
    <m/>
    <s v="WAHYU PRATAMA"/>
    <m/>
    <s v="BATERAI"/>
    <m/>
    <s v="XIAOMI"/>
    <m/>
    <s v="POCO F3"/>
    <m/>
    <s v="100457"/>
    <m/>
    <s v="BATER XIO POCO F3 BM4Y"/>
    <m/>
    <n v="112657.0785"/>
    <m/>
    <n v="1"/>
    <m/>
    <n v="140000"/>
    <m/>
    <n v="140000"/>
    <m/>
    <m/>
    <m/>
    <s v="N/A"/>
  </r>
  <r>
    <m/>
    <x v="24"/>
    <m/>
    <s v="MF-FP.25258"/>
    <m/>
    <s v="MF-ST.22781"/>
    <m/>
    <d v="2026-05-18T00:00:00"/>
    <m/>
    <s v="Umum"/>
    <m/>
    <s v="C.13360"/>
    <m/>
    <s v="TRI"/>
    <m/>
    <s v="WAHYU PRATAMA"/>
    <m/>
    <s v="SERVICE HANDPHONE"/>
    <m/>
    <x v="2"/>
    <m/>
    <s v="YUVI NOFERIANTO"/>
    <m/>
    <x v="4"/>
    <m/>
    <s v="WAHYU PRATAMA"/>
    <m/>
    <s v="BATERAI"/>
    <m/>
    <s v="XIAOMI"/>
    <m/>
    <s v="POCO F3"/>
    <m/>
    <s v="107200"/>
    <m/>
    <s v="LUNA DATA CABLE TYPE-C CB-2EC"/>
    <m/>
    <n v="9500"/>
    <m/>
    <n v="1"/>
    <m/>
    <n v="10000"/>
    <m/>
    <n v="10000"/>
    <m/>
    <m/>
    <m/>
    <s v="N/A"/>
  </r>
  <r>
    <m/>
    <x v="24"/>
    <m/>
    <s v="MF-FP.25259"/>
    <m/>
    <s v="MF-ST.22782"/>
    <m/>
    <d v="2026-05-18T00:00:00"/>
    <m/>
    <s v="Member Reguler"/>
    <m/>
    <s v="C.10970"/>
    <m/>
    <s v="PAK EDI"/>
    <m/>
    <s v="Achmad Indrawanto"/>
    <m/>
    <s v="SERVICE LAPTOP"/>
    <m/>
    <x v="0"/>
    <m/>
    <s v="ABDUL MUNAJAT"/>
    <m/>
    <x v="3"/>
    <m/>
    <s v="Achmad Indrawanto"/>
    <m/>
    <s v="SOFTWARE"/>
    <m/>
    <s v="ASUS"/>
    <m/>
    <s v="Asus M409"/>
    <m/>
    <s v="JASA71"/>
    <m/>
    <s v="JASA REPAIR"/>
    <m/>
    <n v="0"/>
    <m/>
    <n v="1"/>
    <m/>
    <n v="130000"/>
    <m/>
    <n v="130000"/>
    <m/>
    <s v="Achmad Indrawanto"/>
    <m/>
    <s v="N/A"/>
  </r>
  <r>
    <m/>
    <x v="24"/>
    <m/>
    <s v="MF-FP.25259"/>
    <m/>
    <s v="MF-ST.22782"/>
    <m/>
    <d v="2026-05-18T00:00:00"/>
    <m/>
    <s v="Member Reguler"/>
    <m/>
    <s v="C.10970"/>
    <m/>
    <s v="PAK EDI"/>
    <m/>
    <s v="Achmad Indrawanto"/>
    <m/>
    <s v="SERVICE LAPTOP"/>
    <m/>
    <x v="2"/>
    <m/>
    <s v="ABDUL MUNAJAT"/>
    <m/>
    <x v="3"/>
    <m/>
    <s v="Achmad Indrawanto"/>
    <m/>
    <s v="SOFTWARE"/>
    <m/>
    <s v="ASUS"/>
    <m/>
    <s v="Asus M409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4"/>
    <m/>
    <s v="MF-FP.25260"/>
    <m/>
    <s v="MF-ST.22754"/>
    <m/>
    <d v="2026-05-17T00:00:00"/>
    <m/>
    <s v="Member Reguler"/>
    <m/>
    <s v="C.13344"/>
    <m/>
    <s v="PUTRI"/>
    <m/>
    <s v="Achmad Indrawanto"/>
    <m/>
    <s v="SERVICE LAPTOP"/>
    <m/>
    <x v="0"/>
    <m/>
    <s v="BOY RIKARDO"/>
    <m/>
    <x v="8"/>
    <m/>
    <s v="Achmad Indrawanto"/>
    <m/>
    <s v="SSD"/>
    <m/>
    <s v="HP"/>
    <m/>
    <s v="HP 15DB"/>
    <m/>
    <s v="JASA71"/>
    <m/>
    <s v="JASA REPAIR"/>
    <m/>
    <n v="0"/>
    <m/>
    <n v="1"/>
    <m/>
    <n v="320000"/>
    <m/>
    <n v="320000"/>
    <m/>
    <s v="Achmad Indrawanto"/>
    <m/>
    <s v="N/A"/>
  </r>
  <r>
    <m/>
    <x v="24"/>
    <m/>
    <s v="MF-FP.25260"/>
    <m/>
    <s v="MF-ST.22754"/>
    <m/>
    <d v="2026-05-17T00:00:00"/>
    <m/>
    <s v="Member Reguler"/>
    <m/>
    <s v="C.13344"/>
    <m/>
    <s v="PUTRI"/>
    <m/>
    <s v="Achmad Indrawanto"/>
    <m/>
    <s v="SERVICE LAPTOP"/>
    <m/>
    <x v="1"/>
    <m/>
    <s v="BOY RIKARDO"/>
    <m/>
    <x v="8"/>
    <m/>
    <s v="Achmad Indrawanto"/>
    <m/>
    <s v="SSD"/>
    <m/>
    <s v="HP"/>
    <m/>
    <s v="HP 15DB"/>
    <m/>
    <s v="105640"/>
    <m/>
    <s v="VGEN SSD SATA III PLATINUM 128GB"/>
    <m/>
    <n v="461871.25845700002"/>
    <m/>
    <n v="1"/>
    <m/>
    <n v="610000"/>
    <m/>
    <n v="610000"/>
    <m/>
    <s v="Achmad Indrawanto"/>
    <m/>
    <s v="N/A"/>
  </r>
  <r>
    <m/>
    <x v="24"/>
    <m/>
    <s v="MF-FP.25260"/>
    <m/>
    <s v="MF-ST.22754"/>
    <m/>
    <d v="2026-05-17T00:00:00"/>
    <m/>
    <s v="Member Reguler"/>
    <m/>
    <s v="C.13344"/>
    <m/>
    <s v="PUTRI"/>
    <m/>
    <s v="Achmad Indrawanto"/>
    <m/>
    <s v="SERVICE LAPTOP"/>
    <m/>
    <x v="2"/>
    <m/>
    <s v="BOY RIKARDO"/>
    <m/>
    <x v="8"/>
    <m/>
    <s v="Achmad Indrawanto"/>
    <m/>
    <s v="SSD"/>
    <m/>
    <s v="HP"/>
    <m/>
    <s v="HP 15DB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4"/>
    <m/>
    <s v="MF-FP.25269"/>
    <m/>
    <s v="MF-ST.22715"/>
    <m/>
    <d v="2026-05-16T00:00:00"/>
    <m/>
    <s v="Umum"/>
    <m/>
    <s v="C.13325"/>
    <m/>
    <s v="HARIYADI"/>
    <m/>
    <s v="WAHYU PRATAMA"/>
    <m/>
    <s v="SERVICE LAPTOP"/>
    <m/>
    <x v="2"/>
    <m/>
    <s v="ABDUL MUNAJAT"/>
    <m/>
    <x v="3"/>
    <m/>
    <s v="Achmad Indrawanto"/>
    <m/>
    <s v="BATERAI"/>
    <m/>
    <s v="DELL"/>
    <m/>
    <s v="7390"/>
    <m/>
    <s v="107200"/>
    <m/>
    <s v="LUNA DATA CABLE TYPE-C CB-2EC"/>
    <m/>
    <n v="9500"/>
    <m/>
    <n v="1"/>
    <m/>
    <n v="20000"/>
    <m/>
    <n v="20000"/>
    <m/>
    <m/>
    <m/>
    <s v="N/A"/>
  </r>
  <r>
    <m/>
    <x v="24"/>
    <m/>
    <s v="MF-FP.25270"/>
    <m/>
    <s v="MF-ST.22742"/>
    <m/>
    <d v="2026-05-16T00:00:00"/>
    <m/>
    <s v="Member Reguler"/>
    <m/>
    <s v="MJ1728"/>
    <m/>
    <s v="EMILIA"/>
    <m/>
    <s v="HANIF"/>
    <m/>
    <s v="SERVICE LAPTOP"/>
    <m/>
    <x v="2"/>
    <m/>
    <s v="ARIFIN SANTOSO JATIMULYA"/>
    <m/>
    <x v="6"/>
    <m/>
    <s v="Achmad Indrawanto"/>
    <m/>
    <s v="REPAIR"/>
    <m/>
    <s v="MSI"/>
    <m/>
    <s v="MSI modern 14"/>
    <m/>
    <s v="107200"/>
    <m/>
    <s v="LUNA DATA CABLE TYPE-C CB-2EC"/>
    <m/>
    <n v="9500"/>
    <m/>
    <n v="1"/>
    <m/>
    <n v="20000"/>
    <m/>
    <n v="20000"/>
    <m/>
    <s v="TEGAR PUTRA YANSA SALES"/>
    <m/>
    <s v="N/A"/>
  </r>
  <r>
    <m/>
    <x v="24"/>
    <m/>
    <s v="MF-FP.25265"/>
    <m/>
    <s v="MF-ST.22015"/>
    <m/>
    <d v="2026-04-19T00:00:00"/>
    <m/>
    <s v="Member Reguler"/>
    <m/>
    <s v="MJ0090"/>
    <m/>
    <s v="Maryana"/>
    <m/>
    <s v="WAHYU PRATAMA"/>
    <m/>
    <s v="SERVICE LAPTOP"/>
    <m/>
    <x v="1"/>
    <m/>
    <s v="ABDUL MUNAJAT"/>
    <m/>
    <x v="3"/>
    <m/>
    <s v="Achmad Indrawanto"/>
    <m/>
    <s v="MESIN"/>
    <m/>
    <s v="APPLE"/>
    <m/>
    <s v="Macbook Air A1466"/>
    <m/>
    <s v="104091"/>
    <m/>
    <s v="BATER MACBOOK AIR A1466 A1496"/>
    <m/>
    <n v="280000"/>
    <m/>
    <n v="1"/>
    <m/>
    <n v="350000"/>
    <m/>
    <n v="350000"/>
    <m/>
    <s v="Alfi (Jatimulya)"/>
    <m/>
    <s v="N/A"/>
  </r>
  <r>
    <m/>
    <x v="24"/>
    <m/>
    <s v="MF-FP.25263"/>
    <m/>
    <s v="MF-ST.22785"/>
    <m/>
    <d v="2026-05-18T00:00:00"/>
    <m/>
    <s v="Member Reguler"/>
    <m/>
    <s v="MJ0090"/>
    <m/>
    <s v="Maryana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7061"/>
    <m/>
    <s v="KABEL MINI DISPLAY PORT TO HDTV"/>
    <m/>
    <n v="27000"/>
    <m/>
    <n v="1"/>
    <m/>
    <n v="50000"/>
    <m/>
    <n v="50000"/>
    <m/>
    <s v="Alfi (Jatimulya)"/>
    <m/>
    <s v="N/A"/>
  </r>
  <r>
    <m/>
    <x v="24"/>
    <m/>
    <s v="MF-FP.25266"/>
    <m/>
    <s v="MF-ST.22786"/>
    <m/>
    <d v="2026-05-18T00:00:00"/>
    <m/>
    <s v="Member Reguler"/>
    <m/>
    <s v="C.08486"/>
    <m/>
    <s v="IBU EMI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7160"/>
    <m/>
    <s v="ANKER 322 USB-C TO USB-C CABLE (3FT BRAIDED) A81F5H21 WHITE"/>
    <m/>
    <n v="45000"/>
    <m/>
    <n v="1"/>
    <m/>
    <n v="100000"/>
    <m/>
    <n v="100000"/>
    <m/>
    <s v="Achmad Indrawanto"/>
    <m/>
    <s v="N/A"/>
  </r>
  <r>
    <m/>
    <x v="24"/>
    <m/>
    <s v="MF-FP.25265"/>
    <m/>
    <s v="MF-ST.22015"/>
    <m/>
    <d v="2026-04-19T00:00:00"/>
    <m/>
    <s v="Member Reguler"/>
    <m/>
    <s v="MJ0090"/>
    <m/>
    <s v="Maryana"/>
    <m/>
    <s v="WAHYU PRATAMA"/>
    <m/>
    <s v="SERVICE LAPTOP"/>
    <m/>
    <x v="1"/>
    <m/>
    <s v="ABDUL MUNAJAT"/>
    <m/>
    <x v="3"/>
    <m/>
    <s v="Achmad Indrawanto"/>
    <m/>
    <s v="MESIN"/>
    <m/>
    <s v="APPLE"/>
    <m/>
    <s v="Macbook Air A1466"/>
    <m/>
    <s v="107208"/>
    <m/>
    <s v="MTBRD MACBOOK AIR 2015 4/128GB"/>
    <m/>
    <n v="1154000"/>
    <m/>
    <n v="1"/>
    <m/>
    <n v="1400000"/>
    <m/>
    <n v="1400000"/>
    <m/>
    <s v="Alfi (Jatimulya)"/>
    <m/>
    <s v="N/A"/>
  </r>
  <r>
    <m/>
    <x v="24"/>
    <m/>
    <s v="MF-FP.25264"/>
    <m/>
    <s v="MF-ST.22379"/>
    <m/>
    <d v="2026-05-02T00:00:00"/>
    <m/>
    <s v="Member Reguler"/>
    <m/>
    <s v="MJ0090"/>
    <m/>
    <s v="Maryana"/>
    <m/>
    <s v="Achmad Indrawanto"/>
    <m/>
    <s v="SERVICE LAPTOP"/>
    <m/>
    <x v="0"/>
    <m/>
    <s v="ARIFIN SANTOSO JATIMULYA"/>
    <m/>
    <x v="6"/>
    <m/>
    <s v="Achmad Indrawanto"/>
    <m/>
    <s v="SOFTWARE"/>
    <m/>
    <s v="APPLE"/>
    <m/>
    <s v="Macbook Air A1466"/>
    <m/>
    <s v="JASA71"/>
    <m/>
    <s v="JASA REPAIR"/>
    <m/>
    <n v="0"/>
    <m/>
    <n v="1"/>
    <m/>
    <n v="480000"/>
    <m/>
    <n v="480000"/>
    <m/>
    <s v="Alfi (Jatimulya)"/>
    <m/>
    <s v="N/A"/>
  </r>
  <r>
    <m/>
    <x v="24"/>
    <m/>
    <s v="MF-FP.25264"/>
    <m/>
    <s v="MF-ST.22379"/>
    <m/>
    <d v="2026-05-02T00:00:00"/>
    <m/>
    <s v="Member Reguler"/>
    <m/>
    <s v="MJ0090"/>
    <m/>
    <s v="Maryana"/>
    <m/>
    <s v="Achmad Indrawanto"/>
    <m/>
    <s v="SERVICE LAPTOP"/>
    <m/>
    <x v="2"/>
    <m/>
    <s v="ARIFIN SANTOSO JATIMULYA"/>
    <m/>
    <x v="6"/>
    <m/>
    <s v="Achmad Indrawanto"/>
    <m/>
    <s v="SOFTWARE"/>
    <m/>
    <s v="APPLE"/>
    <m/>
    <s v="Macbook Air A1466"/>
    <m/>
    <s v="107200"/>
    <m/>
    <s v="LUNA DATA CABLE TYPE-C CB-2EC"/>
    <m/>
    <n v="9500"/>
    <m/>
    <n v="1"/>
    <m/>
    <n v="20000"/>
    <m/>
    <n v="20000"/>
    <m/>
    <s v="Alfi (Jatimulya)"/>
    <m/>
    <s v="N/A"/>
  </r>
  <r>
    <m/>
    <x v="24"/>
    <m/>
    <s v="MF-FP.25265"/>
    <m/>
    <s v="MF-ST.22015"/>
    <m/>
    <d v="2026-04-19T00:00:00"/>
    <m/>
    <s v="Member Reguler"/>
    <m/>
    <s v="MJ0090"/>
    <m/>
    <s v="Maryana"/>
    <m/>
    <s v="WAHYU PRATAMA"/>
    <m/>
    <s v="SERVICE LAPTOP"/>
    <m/>
    <x v="0"/>
    <m/>
    <s v="ABDUL MUNAJAT"/>
    <m/>
    <x v="3"/>
    <m/>
    <s v="Achmad Indrawanto"/>
    <m/>
    <s v="MESIN"/>
    <m/>
    <s v="APPLE"/>
    <m/>
    <s v="Macbook Air A1466"/>
    <m/>
    <s v="JASA71"/>
    <m/>
    <s v="JASA REPAIR"/>
    <m/>
    <n v="0"/>
    <m/>
    <n v="1"/>
    <m/>
    <n v="2030000"/>
    <m/>
    <n v="2030000"/>
    <m/>
    <s v="Alfi (Jatimulya)"/>
    <m/>
    <s v="N/A"/>
  </r>
  <r>
    <m/>
    <x v="24"/>
    <m/>
    <s v="MF-FP.25265"/>
    <m/>
    <s v="MF-ST.22015"/>
    <m/>
    <d v="2026-04-19T00:00:00"/>
    <m/>
    <s v="Member Reguler"/>
    <m/>
    <s v="MJ0090"/>
    <m/>
    <s v="Maryana"/>
    <m/>
    <s v="WAHYU PRATAMA"/>
    <m/>
    <s v="SERVICE LAPTOP"/>
    <m/>
    <x v="2"/>
    <m/>
    <s v="ABDUL MUNAJAT"/>
    <m/>
    <x v="3"/>
    <m/>
    <s v="Achmad Indrawanto"/>
    <m/>
    <s v="MESIN"/>
    <m/>
    <s v="APPLE"/>
    <m/>
    <s v="Macbook Air A1466"/>
    <m/>
    <s v="107200"/>
    <m/>
    <s v="LUNA DATA CABLE TYPE-C CB-2EC"/>
    <m/>
    <n v="9500"/>
    <m/>
    <n v="1"/>
    <m/>
    <n v="20000"/>
    <m/>
    <n v="20000"/>
    <m/>
    <s v="Alfi (Jatimulya)"/>
    <m/>
    <s v="N/A"/>
  </r>
  <r>
    <m/>
    <x v="24"/>
    <m/>
    <s v="MF-FP.25267"/>
    <m/>
    <s v="MF-ST.22721"/>
    <m/>
    <d v="2026-05-16T00:00:00"/>
    <m/>
    <s v="Member Reguler"/>
    <m/>
    <s v="C.13327"/>
    <m/>
    <s v="BONDAN"/>
    <m/>
    <s v="WAHYU PRATAMA"/>
    <m/>
    <s v="SERVICE LAPTOP"/>
    <m/>
    <x v="0"/>
    <m/>
    <s v="ABDUL MUNAJAT"/>
    <m/>
    <x v="3"/>
    <m/>
    <s v="Achmad Indrawanto"/>
    <m/>
    <s v="REPAIR"/>
    <m/>
    <s v="DELL"/>
    <m/>
    <s v="VOSTRO 3405"/>
    <m/>
    <s v="JASA71"/>
    <m/>
    <s v="JASA REPAIR"/>
    <m/>
    <n v="0"/>
    <m/>
    <n v="1"/>
    <m/>
    <n v="380000"/>
    <m/>
    <n v="380000"/>
    <m/>
    <s v="Achmad Indrawanto"/>
    <m/>
    <s v="N/A"/>
  </r>
  <r>
    <m/>
    <x v="24"/>
    <m/>
    <s v="MF-FP.25267"/>
    <m/>
    <s v="MF-ST.22721"/>
    <m/>
    <d v="2026-05-16T00:00:00"/>
    <m/>
    <s v="Member Reguler"/>
    <m/>
    <s v="C.13327"/>
    <m/>
    <s v="BONDAN"/>
    <m/>
    <s v="WAHYU PRATAMA"/>
    <m/>
    <s v="SERVICE LAPTOP"/>
    <m/>
    <x v="1"/>
    <m/>
    <s v="ABDUL MUNAJAT"/>
    <m/>
    <x v="3"/>
    <m/>
    <s v="Achmad Indrawanto"/>
    <m/>
    <s v="REPAIR"/>
    <m/>
    <s v="DELL"/>
    <m/>
    <s v="VOSTRO 3405"/>
    <m/>
    <s v="105640"/>
    <m/>
    <s v="VGEN SSD SATA III PLATINUM 128GB"/>
    <m/>
    <n v="461871.25845700002"/>
    <m/>
    <n v="1"/>
    <m/>
    <n v="600000"/>
    <m/>
    <n v="600000"/>
    <m/>
    <s v="Achmad Indrawanto"/>
    <m/>
    <s v="N/A"/>
  </r>
  <r>
    <m/>
    <x v="24"/>
    <m/>
    <s v="MF-FP.25267"/>
    <m/>
    <s v="MF-ST.22721"/>
    <m/>
    <d v="2026-05-16T00:00:00"/>
    <m/>
    <s v="Member Reguler"/>
    <m/>
    <s v="C.13327"/>
    <m/>
    <s v="BONDAN"/>
    <m/>
    <s v="WAHYU PRATAMA"/>
    <m/>
    <s v="SERVICE LAPTOP"/>
    <m/>
    <x v="2"/>
    <m/>
    <s v="ABDUL MUNAJAT"/>
    <m/>
    <x v="3"/>
    <m/>
    <s v="Achmad Indrawanto"/>
    <m/>
    <s v="REPAIR"/>
    <m/>
    <s v="DELL"/>
    <m/>
    <s v="VOSTRO 3405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4"/>
    <m/>
    <s v="MF-FP.25268"/>
    <m/>
    <s v="MF-ST.22648"/>
    <m/>
    <d v="2026-05-13T00:00:00"/>
    <m/>
    <s v="Umum"/>
    <m/>
    <s v="C.13291"/>
    <m/>
    <s v="RAIJA"/>
    <m/>
    <s v="WAHYU PRATAMA"/>
    <m/>
    <s v="SERVICE LAPTOP"/>
    <m/>
    <x v="0"/>
    <m/>
    <s v="ARIFIN SANTOSO JATIMULYA"/>
    <m/>
    <x v="6"/>
    <m/>
    <s v="Achmad Indrawanto"/>
    <m/>
    <s v="FAN"/>
    <m/>
    <s v="ASUS"/>
    <m/>
    <s v="Asus s300c"/>
    <m/>
    <s v="JASA71"/>
    <m/>
    <s v="JASA REPAIR"/>
    <m/>
    <n v="0"/>
    <m/>
    <n v="1"/>
    <m/>
    <n v="700000"/>
    <m/>
    <n v="700000"/>
    <m/>
    <m/>
    <m/>
    <s v="N/A"/>
  </r>
  <r>
    <m/>
    <x v="24"/>
    <m/>
    <s v="MF-FP.25268"/>
    <m/>
    <s v="MF-ST.22648"/>
    <m/>
    <d v="2026-05-13T00:00:00"/>
    <m/>
    <s v="Umum"/>
    <m/>
    <s v="C.13291"/>
    <m/>
    <s v="RAIJA"/>
    <m/>
    <s v="WAHYU PRATAMA"/>
    <m/>
    <s v="SERVICE LAPTOP"/>
    <m/>
    <x v="1"/>
    <m/>
    <s v="ARIFIN SANTOSO JATIMULYA"/>
    <m/>
    <x v="6"/>
    <m/>
    <s v="Achmad Indrawanto"/>
    <m/>
    <s v="FAN"/>
    <m/>
    <s v="ASUS"/>
    <m/>
    <s v="Asus s300c"/>
    <m/>
    <s v="107282"/>
    <m/>
    <s v="KYBRD LPT ASS S300C"/>
    <m/>
    <n v="140000"/>
    <m/>
    <n v="1"/>
    <m/>
    <n v="160000"/>
    <m/>
    <n v="160000"/>
    <m/>
    <m/>
    <m/>
    <s v="N/A"/>
  </r>
  <r>
    <m/>
    <x v="24"/>
    <m/>
    <s v="MF-FP.25268"/>
    <m/>
    <s v="MF-ST.22648"/>
    <m/>
    <d v="2026-05-13T00:00:00"/>
    <m/>
    <s v="Umum"/>
    <m/>
    <s v="C.13291"/>
    <m/>
    <s v="RAIJA"/>
    <m/>
    <s v="WAHYU PRATAMA"/>
    <m/>
    <s v="SERVICE LAPTOP"/>
    <m/>
    <x v="1"/>
    <m/>
    <s v="ARIFIN SANTOSO JATIMULYA"/>
    <m/>
    <x v="6"/>
    <m/>
    <s v="Achmad Indrawanto"/>
    <m/>
    <s v="FAN"/>
    <m/>
    <s v="ASUS"/>
    <m/>
    <s v="Asus s300c"/>
    <m/>
    <s v="107279"/>
    <m/>
    <s v="FAN.. LPT ASS X402 S300 S400 S500"/>
    <m/>
    <n v="86900"/>
    <m/>
    <n v="1"/>
    <m/>
    <n v="120000"/>
    <m/>
    <n v="120000"/>
    <m/>
    <m/>
    <m/>
    <s v="N/A"/>
  </r>
  <r>
    <m/>
    <x v="24"/>
    <m/>
    <s v="MF-FP.25268"/>
    <m/>
    <s v="MF-ST.22648"/>
    <m/>
    <d v="2026-05-13T00:00:00"/>
    <m/>
    <s v="Umum"/>
    <m/>
    <s v="C.13291"/>
    <m/>
    <s v="RAIJA"/>
    <m/>
    <s v="WAHYU PRATAMA"/>
    <m/>
    <s v="SERVICE LAPTOP"/>
    <m/>
    <x v="2"/>
    <m/>
    <s v="ARIFIN SANTOSO JATIMULYA"/>
    <m/>
    <x v="6"/>
    <m/>
    <s v="Achmad Indrawanto"/>
    <m/>
    <s v="FAN"/>
    <m/>
    <s v="ASUS"/>
    <m/>
    <s v="Asus s300c"/>
    <m/>
    <s v="107200"/>
    <m/>
    <s v="LUNA DATA CABLE TYPE-C CB-2EC"/>
    <m/>
    <n v="9500"/>
    <m/>
    <n v="1"/>
    <m/>
    <n v="20000"/>
    <m/>
    <n v="20000"/>
    <m/>
    <m/>
    <m/>
    <s v="N/A"/>
  </r>
  <r>
    <m/>
    <x v="24"/>
    <m/>
    <s v="MF-FP.25269"/>
    <m/>
    <s v="MF-ST.22715"/>
    <m/>
    <d v="2026-05-16T00:00:00"/>
    <m/>
    <s v="Umum"/>
    <m/>
    <s v="C.13325"/>
    <m/>
    <s v="HARIYADI"/>
    <m/>
    <s v="WAHYU PRATAMA"/>
    <m/>
    <s v="SERVICE LAPTOP"/>
    <m/>
    <x v="0"/>
    <m/>
    <s v="ABDUL MUNAJAT"/>
    <m/>
    <x v="3"/>
    <m/>
    <s v="Achmad Indrawanto"/>
    <m/>
    <s v="BATERAI"/>
    <m/>
    <s v="DELL"/>
    <m/>
    <s v="7390"/>
    <m/>
    <s v="JASA71"/>
    <m/>
    <s v="JASA REPAIR"/>
    <m/>
    <n v="0"/>
    <m/>
    <n v="1"/>
    <m/>
    <n v="300000"/>
    <m/>
    <n v="300000"/>
    <m/>
    <m/>
    <m/>
    <s v="N/A"/>
  </r>
  <r>
    <m/>
    <x v="24"/>
    <m/>
    <s v="MF-FP.25269"/>
    <m/>
    <s v="MF-ST.22715"/>
    <m/>
    <d v="2026-05-16T00:00:00"/>
    <m/>
    <s v="Umum"/>
    <m/>
    <s v="C.13325"/>
    <m/>
    <s v="HARIYADI"/>
    <m/>
    <s v="WAHYU PRATAMA"/>
    <m/>
    <s v="SERVICE LAPTOP"/>
    <m/>
    <x v="1"/>
    <m/>
    <s v="ABDUL MUNAJAT"/>
    <m/>
    <x v="3"/>
    <m/>
    <s v="Achmad Indrawanto"/>
    <m/>
    <s v="BATERAI"/>
    <m/>
    <s v="DELL"/>
    <m/>
    <s v="7390"/>
    <m/>
    <s v="107019"/>
    <m/>
    <s v="BATER LPT DELL 7390 71TG4"/>
    <m/>
    <n v="510000"/>
    <m/>
    <n v="1"/>
    <m/>
    <n v="630000"/>
    <m/>
    <n v="630000"/>
    <m/>
    <m/>
    <m/>
    <s v="N/A"/>
  </r>
  <r>
    <m/>
    <x v="24"/>
    <m/>
    <s v="MF-FP.25270"/>
    <m/>
    <s v="MF-ST.22742"/>
    <m/>
    <d v="2026-05-16T00:00:00"/>
    <m/>
    <s v="Member Reguler"/>
    <m/>
    <s v="MJ1728"/>
    <m/>
    <s v="EMILIA"/>
    <m/>
    <s v="HANIF"/>
    <m/>
    <s v="SERVICE LAPTOP"/>
    <m/>
    <x v="0"/>
    <m/>
    <s v="ARIFIN SANTOSO JATIMULYA"/>
    <m/>
    <x v="6"/>
    <m/>
    <s v="Achmad Indrawanto"/>
    <m/>
    <s v="REPAIR"/>
    <m/>
    <s v="MSI"/>
    <m/>
    <s v="MSI modern 14"/>
    <m/>
    <s v="JASA71"/>
    <m/>
    <s v="JASA REPAIR"/>
    <m/>
    <n v="0"/>
    <m/>
    <n v="1"/>
    <m/>
    <n v="430000"/>
    <m/>
    <n v="430000"/>
    <m/>
    <s v="TEGAR PUTRA YANSA SALES"/>
    <m/>
    <s v="N/A"/>
  </r>
  <r>
    <m/>
    <x v="25"/>
    <m/>
    <s v="MF-FP.25271"/>
    <m/>
    <s v="MF-ST.22790"/>
    <m/>
    <d v="2026-05-19T00:00:00"/>
    <m/>
    <s v="Member Reguler"/>
    <m/>
    <s v="C.13364"/>
    <m/>
    <s v="IBU HILAL"/>
    <m/>
    <s v="Achmad Indrawanto"/>
    <m/>
    <s v="SERVICE HANDPHONE"/>
    <m/>
    <x v="0"/>
    <m/>
    <s v="EKO RISDIYANTORO JATIMULYA"/>
    <m/>
    <x v="2"/>
    <m/>
    <s v="Achmad Indrawanto"/>
    <m/>
    <s v="BATERAI"/>
    <m/>
    <s v="XIAOMI"/>
    <m/>
    <s v="mi a1"/>
    <m/>
    <s v="JASA71"/>
    <m/>
    <s v="JASA REPAIR"/>
    <m/>
    <n v="0"/>
    <m/>
    <n v="1"/>
    <m/>
    <n v="145000"/>
    <m/>
    <n v="145000"/>
    <m/>
    <s v="Achmad Indrawanto"/>
    <m/>
    <s v="N/A"/>
  </r>
  <r>
    <m/>
    <x v="25"/>
    <m/>
    <s v="MF-FP.25271"/>
    <m/>
    <s v="MF-ST.22790"/>
    <m/>
    <d v="2026-05-19T00:00:00"/>
    <m/>
    <s v="Member Reguler"/>
    <m/>
    <s v="C.13364"/>
    <m/>
    <s v="IBU HILAL"/>
    <m/>
    <s v="Achmad Indrawanto"/>
    <m/>
    <s v="SERVICE HANDPHONE"/>
    <m/>
    <x v="1"/>
    <m/>
    <s v="EKO RISDIYANTORO JATIMULYA"/>
    <m/>
    <x v="2"/>
    <m/>
    <s v="Achmad Indrawanto"/>
    <m/>
    <s v="BATERAI"/>
    <m/>
    <s v="XIAOMI"/>
    <m/>
    <s v="mi a1"/>
    <m/>
    <s v="100159"/>
    <m/>
    <s v="BATER XIO REDMI NOTE 5A/MI A1/MI 5X/BN31 FST"/>
    <m/>
    <n v="88000"/>
    <m/>
    <n v="1"/>
    <m/>
    <n v="135000"/>
    <m/>
    <n v="135000"/>
    <m/>
    <s v="Achmad Indrawanto"/>
    <m/>
    <s v="N/A"/>
  </r>
  <r>
    <m/>
    <x v="25"/>
    <m/>
    <s v="MF-FP.25271"/>
    <m/>
    <s v="MF-ST.22790"/>
    <m/>
    <d v="2026-05-19T00:00:00"/>
    <m/>
    <s v="Member Reguler"/>
    <m/>
    <s v="C.13364"/>
    <m/>
    <s v="IBU HILAL"/>
    <m/>
    <s v="Achmad Indrawanto"/>
    <m/>
    <s v="SERVICE HANDPHONE"/>
    <m/>
    <x v="2"/>
    <m/>
    <s v="EKO RISDIYANTORO JATIMULYA"/>
    <m/>
    <x v="2"/>
    <m/>
    <s v="Achmad Indrawanto"/>
    <m/>
    <s v="BATERAI"/>
    <m/>
    <s v="XIAOMI"/>
    <m/>
    <s v="mi a1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5"/>
    <m/>
    <s v="MF-FP.25272"/>
    <m/>
    <s v="MF-ST.22791"/>
    <m/>
    <d v="2026-05-19T00:00:00"/>
    <m/>
    <s v="Member Reguler"/>
    <m/>
    <s v="C.12971"/>
    <m/>
    <s v="PT MITRA SURYA MANDIRI"/>
    <m/>
    <s v="TEGAR PUTRA YANSA SALES"/>
    <m/>
    <s v="PENJUALAN CPU"/>
    <m/>
    <x v="2"/>
    <m/>
    <s v="N/A"/>
    <m/>
    <x v="5"/>
    <m/>
    <s v="TEGAR PUTRA YANSA SALES"/>
    <m/>
    <s v="N/A"/>
    <m/>
    <s v="BELUM ADA MERK"/>
    <m/>
    <s v="MONITOR BULDOZER"/>
    <m/>
    <s v="107294"/>
    <m/>
    <s v="MONITOR LED BULDOZER 22IN"/>
    <m/>
    <n v="625000"/>
    <m/>
    <n v="1"/>
    <m/>
    <n v="950000"/>
    <m/>
    <n v="950000"/>
    <m/>
    <s v="TEGAR PUTRA YANSA SALES"/>
    <m/>
    <s v="N/A"/>
  </r>
  <r>
    <m/>
    <x v="25"/>
    <m/>
    <s v="MF-FP.25273"/>
    <m/>
    <s v="MF-ST.22792"/>
    <m/>
    <d v="2026-05-19T00:00:00"/>
    <m/>
    <s v="Umum"/>
    <m/>
    <s v="C.11144"/>
    <m/>
    <s v="ARIF"/>
    <m/>
    <s v="Achmad Indrawanto"/>
    <m/>
    <s v="PENJUALAN AKSESORIS"/>
    <m/>
    <x v="1"/>
    <m/>
    <s v="N/A"/>
    <m/>
    <x v="5"/>
    <m/>
    <s v="Achmad Indrawanto"/>
    <m/>
    <s v="N/A"/>
    <m/>
    <s v="BELUM ADA MERK"/>
    <m/>
    <s v="N/A"/>
    <m/>
    <s v="106806"/>
    <m/>
    <s v="ANKER CAR CHARGER 30W  2 PORTS A2741H11 BLACK"/>
    <m/>
    <n v="135000"/>
    <m/>
    <n v="1"/>
    <m/>
    <n v="180000"/>
    <m/>
    <n v="180000"/>
    <m/>
    <m/>
    <m/>
    <s v="N/A"/>
  </r>
  <r>
    <m/>
    <x v="25"/>
    <m/>
    <s v="MF-FP.25274"/>
    <m/>
    <s v="MF-ST.22651"/>
    <m/>
    <d v="2026-05-13T00:00:00"/>
    <m/>
    <s v="Umum"/>
    <m/>
    <s v="C.13292"/>
    <m/>
    <s v="INDRA"/>
    <m/>
    <s v="WAHYU PRATAMA"/>
    <m/>
    <s v="SERVICE LAPTOP"/>
    <m/>
    <x v="2"/>
    <m/>
    <s v="ABDUL MUNAJAT"/>
    <m/>
    <x v="3"/>
    <m/>
    <s v="Achmad Indrawanto"/>
    <m/>
    <s v="SSD"/>
    <m/>
    <s v="DELL"/>
    <m/>
    <s v="Dell Latitude E4300"/>
    <m/>
    <s v="104160"/>
    <m/>
    <s v="ROBOT CHARGER RT-K10 W TOPLES"/>
    <m/>
    <n v="12843.814992"/>
    <m/>
    <n v="1"/>
    <m/>
    <n v="20000"/>
    <m/>
    <n v="20000"/>
    <m/>
    <m/>
    <m/>
    <s v="N/A"/>
  </r>
  <r>
    <m/>
    <x v="25"/>
    <m/>
    <s v="MF-FP.25275"/>
    <m/>
    <s v="MF-ST.22795"/>
    <m/>
    <d v="2026-05-19T00:00:00"/>
    <m/>
    <s v="Umum"/>
    <m/>
    <s v="C.13365"/>
    <m/>
    <s v="MAN 2 BEKASI"/>
    <m/>
    <s v="TEGAR PUTRA YANSA SALES"/>
    <m/>
    <s v="SERVICE CPU"/>
    <m/>
    <x v="0"/>
    <m/>
    <s v="N/A"/>
    <m/>
    <x v="5"/>
    <m/>
    <s v="TEGAR PUTRA YANSA SALES"/>
    <m/>
    <s v="REPAIR"/>
    <m/>
    <s v="BELUM ADA MERK"/>
    <m/>
    <s v="EPSON L3210 BIRU"/>
    <m/>
    <s v="JASA71"/>
    <m/>
    <s v="JASA REPAIR"/>
    <m/>
    <n v="0"/>
    <m/>
    <n v="1"/>
    <m/>
    <n v="250000"/>
    <m/>
    <n v="250000"/>
    <m/>
    <s v="TEGAR PUTRA YANSA SALES"/>
    <m/>
    <s v="N/A"/>
  </r>
  <r>
    <m/>
    <x v="25"/>
    <m/>
    <s v="MF-FP.25276"/>
    <m/>
    <s v="MF-ST.22796"/>
    <m/>
    <d v="2026-05-19T00:00:00"/>
    <m/>
    <s v="Umum"/>
    <m/>
    <s v="C.13292"/>
    <m/>
    <s v="INDRA"/>
    <m/>
    <s v="Achmad Indrawanto"/>
    <m/>
    <s v="PENJUALAN AKSESORIS"/>
    <m/>
    <x v="6"/>
    <m/>
    <s v="N/A"/>
    <m/>
    <x v="5"/>
    <m/>
    <s v="Achmad Indrawanto"/>
    <m/>
    <s v="N/A"/>
    <m/>
    <s v="BELUM ADA MERK"/>
    <m/>
    <s v="N/A"/>
    <m/>
    <s v="106659"/>
    <m/>
    <s v="ROBOT MOUSE M210S SILENT KEY PURPLE"/>
    <m/>
    <n v="60000"/>
    <m/>
    <n v="1"/>
    <m/>
    <n v="100000"/>
    <m/>
    <n v="100000"/>
    <m/>
    <m/>
    <m/>
    <s v="N/A"/>
  </r>
  <r>
    <m/>
    <x v="25"/>
    <m/>
    <s v="MF-FP.25279"/>
    <m/>
    <s v="MF-ST.22737"/>
    <m/>
    <d v="2026-05-16T00:00:00"/>
    <m/>
    <s v="Umum"/>
    <m/>
    <s v="C.10053"/>
    <m/>
    <s v="AULIA AZZAHRA TUTI"/>
    <m/>
    <s v="HANIF"/>
    <m/>
    <s v="SERVICE LAPTOP"/>
    <m/>
    <x v="0"/>
    <m/>
    <s v="ARIFIN SANTOSO JATIMULYA"/>
    <m/>
    <x v="6"/>
    <m/>
    <s v="Achmad Indrawanto"/>
    <m/>
    <s v="KEYBOARD"/>
    <m/>
    <s v="HP"/>
    <m/>
    <s v="HP 14S DQ"/>
    <m/>
    <s v="JASA71"/>
    <m/>
    <s v="JASA REPAIR"/>
    <m/>
    <n v="0"/>
    <m/>
    <n v="1"/>
    <m/>
    <n v="470000"/>
    <m/>
    <n v="470000"/>
    <m/>
    <m/>
    <m/>
    <s v="N/A"/>
  </r>
  <r>
    <m/>
    <x v="25"/>
    <m/>
    <s v="MF-FP.25277"/>
    <m/>
    <s v="MF-ST.22797"/>
    <m/>
    <d v="2026-05-19T00:00:00"/>
    <m/>
    <s v="Umum"/>
    <m/>
    <s v="C.13365"/>
    <m/>
    <s v="MAN 2 BEKASI"/>
    <m/>
    <s v="TEGAR PUTRA YANSA SALES"/>
    <m/>
    <s v="SERVICE CPU"/>
    <m/>
    <x v="0"/>
    <m/>
    <s v="N/A"/>
    <m/>
    <x v="5"/>
    <m/>
    <s v="TEGAR PUTRA YANSA SALES"/>
    <m/>
    <s v="REPAIR"/>
    <m/>
    <s v="BELUM ADA MERK"/>
    <m/>
    <s v="EPSON L5190"/>
    <m/>
    <s v="JASA71"/>
    <m/>
    <s v="JASA REPAIR"/>
    <m/>
    <n v="0"/>
    <m/>
    <n v="1"/>
    <m/>
    <n v="450000"/>
    <m/>
    <n v="450000"/>
    <m/>
    <s v="TEGAR PUTRA YANSA SALES"/>
    <m/>
    <s v="N/A"/>
  </r>
  <r>
    <m/>
    <x v="25"/>
    <m/>
    <s v="MF-FP.25279"/>
    <m/>
    <s v="MF-ST.22737"/>
    <m/>
    <d v="2026-05-16T00:00:00"/>
    <m/>
    <s v="Umum"/>
    <m/>
    <s v="C.10053"/>
    <m/>
    <s v="AULIA AZZAHRA TUTI"/>
    <m/>
    <s v="HANIF"/>
    <m/>
    <s v="SERVICE LAPTOP"/>
    <m/>
    <x v="1"/>
    <m/>
    <s v="ARIFIN SANTOSO JATIMULYA"/>
    <m/>
    <x v="6"/>
    <m/>
    <s v="Achmad Indrawanto"/>
    <m/>
    <s v="KEYBOARD"/>
    <m/>
    <s v="HP"/>
    <m/>
    <s v="HP 14S DQ"/>
    <m/>
    <s v="107291"/>
    <m/>
    <s v="KYBRD LPT HP 14S DQ BACKLIT"/>
    <m/>
    <n v="211160.714286"/>
    <m/>
    <n v="1"/>
    <m/>
    <n v="260000"/>
    <m/>
    <n v="260000"/>
    <m/>
    <m/>
    <m/>
    <s v="N/A"/>
  </r>
  <r>
    <m/>
    <x v="25"/>
    <m/>
    <s v="MF-FP.25279"/>
    <m/>
    <s v="MF-ST.22737"/>
    <m/>
    <d v="2026-05-16T00:00:00"/>
    <m/>
    <s v="Umum"/>
    <m/>
    <s v="C.10053"/>
    <m/>
    <s v="AULIA AZZAHRA TUTI"/>
    <m/>
    <s v="HANIF"/>
    <m/>
    <s v="SERVICE LAPTOP"/>
    <m/>
    <x v="2"/>
    <m/>
    <s v="ARIFIN SANTOSO JATIMULYA"/>
    <m/>
    <x v="6"/>
    <m/>
    <s v="Achmad Indrawanto"/>
    <m/>
    <s v="KEYBOARD"/>
    <m/>
    <s v="HP"/>
    <m/>
    <s v="HP 14S DQ"/>
    <m/>
    <s v="107200"/>
    <m/>
    <s v="LUNA DATA CABLE TYPE-C CB-2EC"/>
    <m/>
    <n v="9500"/>
    <m/>
    <n v="1"/>
    <m/>
    <n v="20000"/>
    <m/>
    <n v="20000"/>
    <m/>
    <m/>
    <m/>
    <s v="N/A"/>
  </r>
  <r>
    <m/>
    <x v="25"/>
    <m/>
    <s v="MF-FP.25278"/>
    <m/>
    <s v="MF-ST.22798"/>
    <m/>
    <d v="2026-05-19T00:00:00"/>
    <m/>
    <s v="Member Reguler"/>
    <m/>
    <s v="C.13366"/>
    <m/>
    <s v="BAPAK AININ"/>
    <m/>
    <s v="Achmad Indrawanto"/>
    <m/>
    <s v="SERVICE HANDPHONE"/>
    <m/>
    <x v="0"/>
    <m/>
    <s v="EKO RISDIYANTORO JATIMULYA"/>
    <m/>
    <x v="2"/>
    <m/>
    <s v="Achmad Indrawanto"/>
    <m/>
    <s v="REPAIR"/>
    <m/>
    <s v="SAMSUNG"/>
    <m/>
    <s v="samsung A12"/>
    <m/>
    <s v="JASA71"/>
    <m/>
    <s v="JASA REPAIR"/>
    <m/>
    <n v="0"/>
    <m/>
    <n v="1"/>
    <m/>
    <n v="105000"/>
    <m/>
    <n v="105000"/>
    <m/>
    <s v="Achmad Indrawanto"/>
    <m/>
    <s v="N/A"/>
  </r>
  <r>
    <m/>
    <x v="25"/>
    <m/>
    <s v="MF-FP.25278"/>
    <m/>
    <s v="MF-ST.22798"/>
    <m/>
    <d v="2026-05-19T00:00:00"/>
    <m/>
    <s v="Member Reguler"/>
    <m/>
    <s v="C.13366"/>
    <m/>
    <s v="BAPAK AININ"/>
    <m/>
    <s v="Achmad Indrawanto"/>
    <m/>
    <s v="SERVICE HANDPHONE"/>
    <m/>
    <x v="2"/>
    <m/>
    <s v="EKO RISDIYANTORO JATIMULYA"/>
    <m/>
    <x v="2"/>
    <m/>
    <s v="Achmad Indrawanto"/>
    <m/>
    <s v="REPAIR"/>
    <m/>
    <s v="SAMSUNG"/>
    <m/>
    <s v="samsung A12"/>
    <m/>
    <s v="104160"/>
    <m/>
    <s v="ROBOT CHARGER RT-K10 W TOPLES"/>
    <m/>
    <n v="12843.814992"/>
    <m/>
    <n v="1"/>
    <m/>
    <n v="20000"/>
    <m/>
    <n v="20000"/>
    <m/>
    <s v="Achmad Indrawanto"/>
    <m/>
    <s v="N/A"/>
  </r>
  <r>
    <m/>
    <x v="25"/>
    <m/>
    <s v="MF-FP.25280"/>
    <m/>
    <s v="MF-ST.22803"/>
    <m/>
    <d v="2026-05-19T00:00:00"/>
    <m/>
    <s v="Umum"/>
    <m/>
    <s v="MJ2869"/>
    <m/>
    <s v="ARI MARWAN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7218"/>
    <m/>
    <s v="VIVAN DATA CABLE VBUSM COLOURFULL TOPLES"/>
    <m/>
    <n v="12300"/>
    <m/>
    <n v="1"/>
    <m/>
    <n v="13000"/>
    <m/>
    <n v="13000"/>
    <m/>
    <s v="BAGUS SOLIHIN SALES RETAIL"/>
    <m/>
    <s v="N/A"/>
  </r>
  <r>
    <m/>
    <x v="25"/>
    <m/>
    <s v="MF-FP.25281"/>
    <m/>
    <s v="MF-ST.22772"/>
    <m/>
    <d v="2026-05-17T00:00:00"/>
    <m/>
    <s v="Umum"/>
    <m/>
    <s v="C.13356"/>
    <m/>
    <s v="HADI"/>
    <m/>
    <s v="WAHYU PRATAMA"/>
    <m/>
    <s v="SERVICE HANDPHONE"/>
    <m/>
    <x v="0"/>
    <m/>
    <s v="MUSTOFA"/>
    <m/>
    <x v="1"/>
    <m/>
    <s v="HANIF"/>
    <m/>
    <s v="FLEXIBEL CHARGER (PAPAN KONEKTOR)"/>
    <m/>
    <s v="INFINIX"/>
    <m/>
    <s v="HOT 9"/>
    <m/>
    <s v="JASA71"/>
    <m/>
    <s v="JASA REPAIR"/>
    <m/>
    <n v="0"/>
    <m/>
    <n v="1"/>
    <m/>
    <n v="150000"/>
    <m/>
    <n v="150000"/>
    <m/>
    <m/>
    <m/>
    <s v="N/A"/>
  </r>
  <r>
    <m/>
    <x v="25"/>
    <m/>
    <s v="MF-FP.25281"/>
    <m/>
    <s v="MF-ST.22772"/>
    <m/>
    <d v="2026-05-17T00:00:00"/>
    <m/>
    <s v="Umum"/>
    <m/>
    <s v="C.13356"/>
    <m/>
    <s v="HADI"/>
    <m/>
    <s v="WAHYU PRATAMA"/>
    <m/>
    <s v="SERVICE HANDPHONE"/>
    <m/>
    <x v="2"/>
    <m/>
    <s v="MUSTOFA"/>
    <m/>
    <x v="1"/>
    <m/>
    <s v="HANIF"/>
    <m/>
    <s v="FLEXIBEL CHARGER (PAPAN KONEKTOR)"/>
    <m/>
    <s v="INFINIX"/>
    <m/>
    <s v="HOT 9"/>
    <m/>
    <s v="107200"/>
    <m/>
    <s v="LUNA DATA CABLE TYPE-C CB-2EC"/>
    <m/>
    <n v="9500"/>
    <m/>
    <n v="1"/>
    <m/>
    <n v="20000"/>
    <m/>
    <n v="20000"/>
    <m/>
    <m/>
    <m/>
    <s v="N/A"/>
  </r>
  <r>
    <m/>
    <x v="25"/>
    <m/>
    <s v="MF-FP.25281"/>
    <m/>
    <s v="MF-ST.22772"/>
    <m/>
    <d v="2026-05-17T00:00:00"/>
    <m/>
    <s v="Umum"/>
    <m/>
    <s v="C.13356"/>
    <m/>
    <s v="HADI"/>
    <m/>
    <s v="WAHYU PRATAMA"/>
    <m/>
    <s v="SERVICE HANDPHONE"/>
    <m/>
    <x v="1"/>
    <m/>
    <s v="MUSTOFA"/>
    <m/>
    <x v="1"/>
    <m/>
    <s v="HANIF"/>
    <m/>
    <s v="FLEXIBEL CHARGER (PAPAN KONEKTOR)"/>
    <m/>
    <s v="INFINIX"/>
    <m/>
    <s v="HOT 9"/>
    <m/>
    <s v="100548"/>
    <m/>
    <s v="FLCRG INF HOT 7 PRO / HOT 8 / HOT 9"/>
    <m/>
    <n v="10333.333333"/>
    <m/>
    <n v="1"/>
    <m/>
    <n v="30000"/>
    <m/>
    <n v="30000"/>
    <m/>
    <m/>
    <m/>
    <s v="N/A"/>
  </r>
  <r>
    <m/>
    <x v="25"/>
    <m/>
    <s v="MF-FP.25282"/>
    <m/>
    <s v="MF-ST.22767"/>
    <m/>
    <d v="2026-05-17T00:00:00"/>
    <m/>
    <s v="Member Reguler"/>
    <m/>
    <s v="C.13354"/>
    <m/>
    <s v="DELLA"/>
    <m/>
    <s v="WAHYU PRATAMA"/>
    <m/>
    <s v="SERVICE LAPTOP"/>
    <m/>
    <x v="0"/>
    <m/>
    <s v="ARIFIN SANTOSO JATIMULYA"/>
    <m/>
    <x v="6"/>
    <m/>
    <s v="HANIF"/>
    <m/>
    <s v="SOFTWARE"/>
    <m/>
    <s v="DELL"/>
    <m/>
    <s v="Dell 3511"/>
    <m/>
    <s v="JASA71"/>
    <m/>
    <s v="JASA REPAIR"/>
    <m/>
    <n v="0"/>
    <m/>
    <n v="1"/>
    <m/>
    <n v="230000"/>
    <m/>
    <n v="230000"/>
    <m/>
    <s v="Achmad Indrawanto"/>
    <m/>
    <s v="N/A"/>
  </r>
  <r>
    <m/>
    <x v="25"/>
    <m/>
    <s v="MF-FP.25282"/>
    <m/>
    <s v="MF-ST.22767"/>
    <m/>
    <d v="2026-05-17T00:00:00"/>
    <m/>
    <s v="Member Reguler"/>
    <m/>
    <s v="C.13354"/>
    <m/>
    <s v="DELLA"/>
    <m/>
    <s v="WAHYU PRATAMA"/>
    <m/>
    <s v="SERVICE LAPTOP"/>
    <m/>
    <x v="2"/>
    <m/>
    <s v="ARIFIN SANTOSO JATIMULYA"/>
    <m/>
    <x v="6"/>
    <m/>
    <s v="HANIF"/>
    <m/>
    <s v="SOFTWARE"/>
    <m/>
    <s v="DELL"/>
    <m/>
    <s v="Dell 3511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5"/>
    <m/>
    <s v="MF-FP.25283"/>
    <m/>
    <s v="MF-ST.22804"/>
    <m/>
    <d v="2026-05-19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6558"/>
    <m/>
    <s v="FLASHDISK OTG HP 2-IN1 LIGHTNING 64GB"/>
    <m/>
    <n v="110803.237822"/>
    <m/>
    <n v="1"/>
    <m/>
    <n v="160000"/>
    <m/>
    <n v="160000"/>
    <m/>
    <m/>
    <m/>
    <s v="N/A"/>
  </r>
  <r>
    <m/>
    <x v="25"/>
    <m/>
    <s v="MF-FP.25284"/>
    <m/>
    <s v="MF-ST.22709"/>
    <m/>
    <d v="2026-05-15T00:00:00"/>
    <m/>
    <s v="Umum"/>
    <m/>
    <s v="C.13322"/>
    <m/>
    <s v="TASURI"/>
    <m/>
    <s v="HANIF"/>
    <m/>
    <s v="PENJUALAN AKSESORIS"/>
    <m/>
    <x v="1"/>
    <m/>
    <s v="N/A"/>
    <m/>
    <x v="5"/>
    <m/>
    <s v="HANIF"/>
    <m/>
    <s v="N/A"/>
    <m/>
    <s v="BELUM ADA MERK"/>
    <m/>
    <s v="N/A"/>
    <m/>
    <s v="103626"/>
    <m/>
    <s v="ADPTR LPT ASS 19V 3.42A 4.0"/>
    <m/>
    <n v="71691.175713000004"/>
    <m/>
    <n v="1"/>
    <m/>
    <n v="250000"/>
    <m/>
    <n v="250000"/>
    <m/>
    <m/>
    <m/>
    <s v="N/A"/>
  </r>
  <r>
    <m/>
    <x v="25"/>
    <m/>
    <s v="MF-FP.25274"/>
    <m/>
    <s v="MF-ST.22651"/>
    <m/>
    <d v="2026-05-13T00:00:00"/>
    <m/>
    <s v="Umum"/>
    <m/>
    <s v="C.13292"/>
    <m/>
    <s v="INDRA"/>
    <m/>
    <s v="WAHYU PRATAMA"/>
    <m/>
    <s v="SERVICE LAPTOP"/>
    <m/>
    <x v="0"/>
    <m/>
    <s v="ABDUL MUNAJAT"/>
    <m/>
    <x v="3"/>
    <m/>
    <s v="Achmad Indrawanto"/>
    <m/>
    <s v="SSD"/>
    <m/>
    <s v="DELL"/>
    <m/>
    <s v="Dell Latitude E4300"/>
    <m/>
    <s v="JASA71"/>
    <m/>
    <s v="JASA REPAIR"/>
    <m/>
    <n v="0"/>
    <m/>
    <n v="1"/>
    <m/>
    <n v="820000"/>
    <m/>
    <n v="820000"/>
    <m/>
    <m/>
    <m/>
    <s v="N/A"/>
  </r>
  <r>
    <m/>
    <x v="25"/>
    <m/>
    <s v="MF-FP.25274"/>
    <m/>
    <s v="MF-ST.22651"/>
    <m/>
    <d v="2026-05-13T00:00:00"/>
    <m/>
    <s v="Umum"/>
    <m/>
    <s v="C.13292"/>
    <m/>
    <s v="INDRA"/>
    <m/>
    <s v="WAHYU PRATAMA"/>
    <m/>
    <s v="SERVICE LAPTOP"/>
    <m/>
    <x v="1"/>
    <m/>
    <s v="ABDUL MUNAJAT"/>
    <m/>
    <x v="3"/>
    <m/>
    <s v="Achmad Indrawanto"/>
    <m/>
    <s v="SSD"/>
    <m/>
    <s v="DELL"/>
    <m/>
    <s v="Dell Latitude E4300"/>
    <m/>
    <s v="107296"/>
    <m/>
    <s v="RAM DDR3 4GB PC 10600"/>
    <m/>
    <n v="78000"/>
    <m/>
    <n v="1"/>
    <m/>
    <n v="115000"/>
    <m/>
    <n v="115000"/>
    <m/>
    <m/>
    <m/>
    <s v="N/A"/>
  </r>
  <r>
    <m/>
    <x v="25"/>
    <m/>
    <s v="MF-FP.25274"/>
    <m/>
    <s v="MF-ST.22651"/>
    <m/>
    <d v="2026-05-13T00:00:00"/>
    <m/>
    <s v="Umum"/>
    <m/>
    <s v="C.13292"/>
    <m/>
    <s v="INDRA"/>
    <m/>
    <s v="WAHYU PRATAMA"/>
    <m/>
    <s v="SERVICE LAPTOP"/>
    <m/>
    <x v="1"/>
    <m/>
    <s v="ABDUL MUNAJAT"/>
    <m/>
    <x v="3"/>
    <m/>
    <s v="Achmad Indrawanto"/>
    <m/>
    <s v="SSD"/>
    <m/>
    <s v="DELL"/>
    <m/>
    <s v="Dell Latitude E4300"/>
    <m/>
    <s v="107283"/>
    <m/>
    <s v="BATER LPT DELL E4300"/>
    <m/>
    <n v="230000"/>
    <m/>
    <n v="1"/>
    <m/>
    <n v="240000"/>
    <m/>
    <n v="240000"/>
    <m/>
    <m/>
    <m/>
    <s v="N/A"/>
  </r>
  <r>
    <m/>
    <x v="25"/>
    <m/>
    <s v="MF-FP.25274"/>
    <m/>
    <s v="MF-ST.22651"/>
    <m/>
    <d v="2026-05-13T00:00:00"/>
    <m/>
    <s v="Umum"/>
    <m/>
    <s v="C.13292"/>
    <m/>
    <s v="INDRA"/>
    <m/>
    <s v="WAHYU PRATAMA"/>
    <m/>
    <s v="SERVICE LAPTOP"/>
    <m/>
    <x v="1"/>
    <m/>
    <s v="ABDUL MUNAJAT"/>
    <m/>
    <x v="3"/>
    <m/>
    <s v="Achmad Indrawanto"/>
    <m/>
    <s v="SSD"/>
    <m/>
    <s v="DELL"/>
    <m/>
    <s v="Dell Latitude E4300"/>
    <m/>
    <s v="105640"/>
    <m/>
    <s v="VGEN SSD SATA III PLATINUM 128GB"/>
    <m/>
    <n v="461871.25845700002"/>
    <m/>
    <n v="1"/>
    <m/>
    <n v="605000"/>
    <m/>
    <n v="605000"/>
    <m/>
    <m/>
    <m/>
    <s v="N/A"/>
  </r>
  <r>
    <m/>
    <x v="25"/>
    <m/>
    <s v="MF-FP.25285"/>
    <m/>
    <s v="MF-ST.22717"/>
    <m/>
    <d v="2026-05-16T00:00:00"/>
    <m/>
    <s v="Member Reguler"/>
    <m/>
    <s v="C.04859"/>
    <m/>
    <s v="DIKA"/>
    <m/>
    <s v="WAHYU PRATAMA"/>
    <m/>
    <s v="SERVICE HANDPHONE"/>
    <m/>
    <x v="0"/>
    <m/>
    <s v="EKO RISDIYANTORO JATIMULYA"/>
    <m/>
    <x v="2"/>
    <m/>
    <s v="HANIF"/>
    <m/>
    <s v="BATERAI"/>
    <m/>
    <s v="SAMSUNG"/>
    <m/>
    <s v="NOTE 9"/>
    <m/>
    <s v="JASA71"/>
    <m/>
    <s v="JASA REPAIR"/>
    <m/>
    <n v="0"/>
    <m/>
    <n v="1"/>
    <m/>
    <n v="220000"/>
    <m/>
    <n v="220000"/>
    <m/>
    <s v="Achmad Indrawanto"/>
    <m/>
    <s v="N/A"/>
  </r>
  <r>
    <m/>
    <x v="25"/>
    <m/>
    <s v="MF-FP.25285"/>
    <m/>
    <s v="MF-ST.22717"/>
    <m/>
    <d v="2026-05-16T00:00:00"/>
    <m/>
    <s v="Member Reguler"/>
    <m/>
    <s v="C.04859"/>
    <m/>
    <s v="DIKA"/>
    <m/>
    <s v="WAHYU PRATAMA"/>
    <m/>
    <s v="SERVICE HANDPHONE"/>
    <m/>
    <x v="1"/>
    <m/>
    <s v="EKO RISDIYANTORO JATIMULYA"/>
    <m/>
    <x v="2"/>
    <m/>
    <s v="HANIF"/>
    <m/>
    <s v="BATERAI"/>
    <m/>
    <s v="SAMSUNG"/>
    <m/>
    <s v="NOTE 9"/>
    <m/>
    <s v="107292"/>
    <m/>
    <s v="BATER SAM NOTE 9 ORI"/>
    <m/>
    <n v="203000"/>
    <m/>
    <n v="1"/>
    <m/>
    <n v="260000"/>
    <m/>
    <n v="260000"/>
    <m/>
    <s v="Achmad Indrawanto"/>
    <m/>
    <s v="N/A"/>
  </r>
  <r>
    <m/>
    <x v="25"/>
    <m/>
    <s v="MF-FP.25285"/>
    <m/>
    <s v="MF-ST.22717"/>
    <m/>
    <d v="2026-05-16T00:00:00"/>
    <m/>
    <s v="Member Reguler"/>
    <m/>
    <s v="C.04859"/>
    <m/>
    <s v="DIKA"/>
    <m/>
    <s v="WAHYU PRATAMA"/>
    <m/>
    <s v="SERVICE HANDPHONE"/>
    <m/>
    <x v="2"/>
    <m/>
    <s v="EKO RISDIYANTORO JATIMULYA"/>
    <m/>
    <x v="2"/>
    <m/>
    <s v="HANIF"/>
    <m/>
    <s v="BATERAI"/>
    <m/>
    <s v="SAMSUNG"/>
    <m/>
    <s v="NOTE 9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5"/>
    <m/>
    <s v="MF-FP.25286"/>
    <m/>
    <s v="MF-ST.22805"/>
    <m/>
    <d v="2026-05-19T00:00:00"/>
    <m/>
    <s v="Umum"/>
    <m/>
    <s v="C.13370"/>
    <m/>
    <s v="HASAN"/>
    <m/>
    <s v="HANIF"/>
    <m/>
    <s v="SERVICE HANDPHONE"/>
    <m/>
    <x v="0"/>
    <m/>
    <s v="MUSTOFA"/>
    <m/>
    <x v="1"/>
    <m/>
    <s v="HANIF"/>
    <m/>
    <s v="BATERAI"/>
    <m/>
    <s v="APPLE"/>
    <m/>
    <s v="IPH 13"/>
    <m/>
    <s v="JASA71"/>
    <m/>
    <s v="JASA REPAIR"/>
    <m/>
    <n v="0"/>
    <m/>
    <n v="1"/>
    <m/>
    <n v="350000"/>
    <m/>
    <n v="350000"/>
    <m/>
    <m/>
    <m/>
    <s v="N/A"/>
  </r>
  <r>
    <m/>
    <x v="25"/>
    <m/>
    <s v="MF-FP.25286"/>
    <m/>
    <s v="MF-ST.22805"/>
    <m/>
    <d v="2026-05-19T00:00:00"/>
    <m/>
    <s v="Umum"/>
    <m/>
    <s v="C.13370"/>
    <m/>
    <s v="HASAN"/>
    <m/>
    <s v="HANIF"/>
    <m/>
    <s v="SERVICE HANDPHONE"/>
    <m/>
    <x v="1"/>
    <m/>
    <s v="MUSTOFA"/>
    <m/>
    <x v="1"/>
    <m/>
    <s v="HANIF"/>
    <m/>
    <s v="BATERAI"/>
    <m/>
    <s v="APPLE"/>
    <m/>
    <s v="IPH 13"/>
    <m/>
    <s v="102112"/>
    <m/>
    <s v="BATER IPH 13"/>
    <m/>
    <n v="188731.792717"/>
    <m/>
    <n v="1"/>
    <m/>
    <n v="280000"/>
    <m/>
    <n v="280000"/>
    <m/>
    <m/>
    <m/>
    <s v="N/A"/>
  </r>
  <r>
    <m/>
    <x v="25"/>
    <m/>
    <s v="MF-FP.25286"/>
    <m/>
    <s v="MF-ST.22805"/>
    <m/>
    <d v="2026-05-19T00:00:00"/>
    <m/>
    <s v="Umum"/>
    <m/>
    <s v="C.13370"/>
    <m/>
    <s v="HASAN"/>
    <m/>
    <s v="HANIF"/>
    <m/>
    <s v="SERVICE HANDPHONE"/>
    <m/>
    <x v="2"/>
    <m/>
    <s v="MUSTOFA"/>
    <m/>
    <x v="1"/>
    <m/>
    <s v="HANIF"/>
    <m/>
    <s v="BATERAI"/>
    <m/>
    <s v="APPLE"/>
    <m/>
    <s v="IPH 13"/>
    <m/>
    <s v="107200"/>
    <m/>
    <s v="LUNA DATA CABLE TYPE-C CB-2EC"/>
    <m/>
    <n v="9500"/>
    <m/>
    <n v="1"/>
    <m/>
    <n v="20000"/>
    <m/>
    <n v="20000"/>
    <m/>
    <m/>
    <m/>
    <s v="N/A"/>
  </r>
  <r>
    <m/>
    <x v="25"/>
    <m/>
    <s v="MF-FP.25287"/>
    <m/>
    <s v="MF-ST.22788"/>
    <m/>
    <d v="2026-05-18T00:00:00"/>
    <m/>
    <s v="Member Reguler"/>
    <m/>
    <s v="C.13363"/>
    <m/>
    <s v="TITIN"/>
    <m/>
    <s v="Achmad Indrawanto"/>
    <m/>
    <s v="SERVICE HANDPHONE"/>
    <m/>
    <x v="0"/>
    <m/>
    <s v="ARIFIN SANTOSO JATIMULYA"/>
    <m/>
    <x v="6"/>
    <m/>
    <s v="HANIF"/>
    <m/>
    <s v="REPAIR"/>
    <m/>
    <s v="ASUS"/>
    <m/>
    <s v="Asus x441"/>
    <m/>
    <s v="JASA71"/>
    <m/>
    <s v="JASA REPAIR"/>
    <m/>
    <n v="0"/>
    <m/>
    <n v="1"/>
    <m/>
    <n v="230000"/>
    <m/>
    <n v="230000"/>
    <m/>
    <s v="Achmad Indrawanto"/>
    <m/>
    <s v="N/A"/>
  </r>
  <r>
    <m/>
    <x v="25"/>
    <m/>
    <s v="MF-FP.25287"/>
    <m/>
    <s v="MF-ST.22788"/>
    <m/>
    <d v="2026-05-18T00:00:00"/>
    <m/>
    <s v="Member Reguler"/>
    <m/>
    <s v="C.13363"/>
    <m/>
    <s v="TITIN"/>
    <m/>
    <s v="Achmad Indrawanto"/>
    <m/>
    <s v="SERVICE HANDPHONE"/>
    <m/>
    <x v="2"/>
    <m/>
    <s v="ARIFIN SANTOSO JATIMULYA"/>
    <m/>
    <x v="6"/>
    <m/>
    <s v="HANIF"/>
    <m/>
    <s v="REPAIR"/>
    <m/>
    <s v="ASUS"/>
    <m/>
    <s v="Asus x441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5"/>
    <m/>
    <s v="MF-FP.25288"/>
    <m/>
    <s v="MF-ST.22541"/>
    <m/>
    <d v="2026-05-09T00:00:00"/>
    <m/>
    <s v="Member Reguler"/>
    <m/>
    <s v="C.09036"/>
    <m/>
    <s v="DIMAS"/>
    <m/>
    <s v="WAHYU PRATAMA"/>
    <m/>
    <s v="SERVICE LAPTOP"/>
    <m/>
    <x v="0"/>
    <m/>
    <s v="ABDUL MUNAJAT"/>
    <m/>
    <x v="3"/>
    <m/>
    <s v="HANIF"/>
    <m/>
    <s v="KEYBOARD"/>
    <m/>
    <s v="HP"/>
    <m/>
    <s v="Hp SPECTRE X360"/>
    <m/>
    <s v="JASA71"/>
    <m/>
    <s v="JASA REPAIR"/>
    <m/>
    <n v="0"/>
    <m/>
    <n v="1"/>
    <m/>
    <n v="600000"/>
    <m/>
    <n v="600000"/>
    <m/>
    <s v="Achmad Indrawanto"/>
    <m/>
    <s v="N/A"/>
  </r>
  <r>
    <m/>
    <x v="25"/>
    <m/>
    <s v="MF-FP.25288"/>
    <m/>
    <s v="MF-ST.22541"/>
    <m/>
    <d v="2026-05-09T00:00:00"/>
    <m/>
    <s v="Member Reguler"/>
    <m/>
    <s v="C.09036"/>
    <m/>
    <s v="DIMAS"/>
    <m/>
    <s v="WAHYU PRATAMA"/>
    <m/>
    <s v="SERVICE LAPTOP"/>
    <m/>
    <x v="1"/>
    <m/>
    <s v="ABDUL MUNAJAT"/>
    <m/>
    <x v="3"/>
    <m/>
    <s v="HANIF"/>
    <m/>
    <s v="KEYBOARD"/>
    <m/>
    <s v="HP"/>
    <m/>
    <s v="Hp SPECTRE X360"/>
    <m/>
    <s v="107290"/>
    <m/>
    <s v="KYBRD LPT HP SPECTRE X360 13 AP0054TU"/>
    <m/>
    <n v="263950.892857"/>
    <m/>
    <n v="1"/>
    <m/>
    <n v="330000"/>
    <m/>
    <n v="330000"/>
    <m/>
    <s v="Achmad Indrawanto"/>
    <m/>
    <s v="N/A"/>
  </r>
  <r>
    <m/>
    <x v="25"/>
    <m/>
    <s v="MF-FP.25288"/>
    <m/>
    <s v="MF-ST.22541"/>
    <m/>
    <d v="2026-05-09T00:00:00"/>
    <m/>
    <s v="Member Reguler"/>
    <m/>
    <s v="C.09036"/>
    <m/>
    <s v="DIMAS"/>
    <m/>
    <s v="WAHYU PRATAMA"/>
    <m/>
    <s v="SERVICE LAPTOP"/>
    <m/>
    <x v="2"/>
    <m/>
    <s v="ABDUL MUNAJAT"/>
    <m/>
    <x v="3"/>
    <m/>
    <s v="HANIF"/>
    <m/>
    <s v="KEYBOARD"/>
    <m/>
    <s v="HP"/>
    <m/>
    <s v="Hp SPECTRE X360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5"/>
    <m/>
    <s v="MF-FP.25289"/>
    <m/>
    <s v="MF-ST.22746"/>
    <m/>
    <d v="2026-05-16T00:00:00"/>
    <m/>
    <s v="Umum"/>
    <m/>
    <s v="C.13341"/>
    <m/>
    <s v="DWI"/>
    <m/>
    <s v="HANIF"/>
    <m/>
    <s v="SERVICE LAPTOP"/>
    <m/>
    <x v="0"/>
    <m/>
    <s v="ARIFIN SANTOSO JATIMULYA"/>
    <m/>
    <x v="6"/>
    <m/>
    <s v="HANIF"/>
    <m/>
    <s v="KEYBOARD"/>
    <m/>
    <s v="AXIO"/>
    <m/>
    <s v="Axioo mybook 14e"/>
    <m/>
    <s v="JASA71"/>
    <m/>
    <s v="JASA REPAIR"/>
    <m/>
    <n v="0"/>
    <m/>
    <n v="1"/>
    <m/>
    <n v="620000"/>
    <m/>
    <n v="620000"/>
    <m/>
    <m/>
    <m/>
    <s v="N/A"/>
  </r>
  <r>
    <m/>
    <x v="25"/>
    <m/>
    <s v="MF-FP.25289"/>
    <m/>
    <s v="MF-ST.22746"/>
    <m/>
    <d v="2026-05-16T00:00:00"/>
    <m/>
    <s v="Umum"/>
    <m/>
    <s v="C.13341"/>
    <m/>
    <s v="DWI"/>
    <m/>
    <s v="HANIF"/>
    <m/>
    <s v="SERVICE LAPTOP"/>
    <m/>
    <x v="1"/>
    <m/>
    <s v="ARIFIN SANTOSO JATIMULYA"/>
    <m/>
    <x v="6"/>
    <m/>
    <s v="HANIF"/>
    <m/>
    <s v="KEYBOARD"/>
    <m/>
    <s v="AXIO"/>
    <m/>
    <s v="Axioo mybook 14e"/>
    <m/>
    <s v="104030"/>
    <m/>
    <s v="KYBRD LPT AXIOO MYBOOK 14E"/>
    <m/>
    <n v="150000"/>
    <m/>
    <n v="1"/>
    <m/>
    <n v="160000"/>
    <m/>
    <n v="160000"/>
    <m/>
    <m/>
    <m/>
    <s v="N/A"/>
  </r>
  <r>
    <m/>
    <x v="25"/>
    <m/>
    <s v="MF-FP.25289"/>
    <m/>
    <s v="MF-ST.22746"/>
    <m/>
    <d v="2026-05-16T00:00:00"/>
    <m/>
    <s v="Umum"/>
    <m/>
    <s v="C.13341"/>
    <m/>
    <s v="DWI"/>
    <m/>
    <s v="HANIF"/>
    <m/>
    <s v="SERVICE LAPTOP"/>
    <m/>
    <x v="2"/>
    <m/>
    <s v="ARIFIN SANTOSO JATIMULYA"/>
    <m/>
    <x v="6"/>
    <m/>
    <s v="HANIF"/>
    <m/>
    <s v="KEYBOARD"/>
    <m/>
    <s v="AXIO"/>
    <m/>
    <s v="Axioo mybook 14e"/>
    <m/>
    <s v="107200"/>
    <m/>
    <s v="LUNA DATA CABLE TYPE-C CB-2EC"/>
    <m/>
    <n v="9500"/>
    <m/>
    <n v="1"/>
    <m/>
    <n v="20000"/>
    <m/>
    <n v="20000"/>
    <m/>
    <m/>
    <m/>
    <s v="N/A"/>
  </r>
  <r>
    <m/>
    <x v="26"/>
    <m/>
    <s v="MF-FP.25290"/>
    <m/>
    <s v="MF-ST.22806"/>
    <m/>
    <d v="2026-05-20T00:00:00"/>
    <m/>
    <s v="Member Reguler"/>
    <m/>
    <s v="C.13371"/>
    <m/>
    <s v="ANISA"/>
    <m/>
    <s v="RIZKI RAMDHAN"/>
    <m/>
    <s v="SERVICE HANDPHONE"/>
    <m/>
    <x v="2"/>
    <m/>
    <s v="ARI MARWAN"/>
    <m/>
    <x v="0"/>
    <m/>
    <s v="RISKI RAMADHAN"/>
    <m/>
    <s v="BATERAI"/>
    <m/>
    <s v="OPPO"/>
    <m/>
    <s v="Oppo A53"/>
    <m/>
    <s v="107200"/>
    <m/>
    <s v="LUNA DATA CABLE TYPE-C CB-2EC"/>
    <m/>
    <n v="9500"/>
    <m/>
    <n v="1"/>
    <m/>
    <n v="20000"/>
    <m/>
    <n v="20000"/>
    <m/>
    <s v="RIZKI RAMDHAN"/>
    <m/>
    <s v="N/A"/>
  </r>
  <r>
    <m/>
    <x v="26"/>
    <m/>
    <s v="MF-FP.25290"/>
    <m/>
    <s v="MF-ST.22806"/>
    <m/>
    <d v="2026-05-20T00:00:00"/>
    <m/>
    <s v="Member Reguler"/>
    <m/>
    <s v="C.13371"/>
    <m/>
    <s v="ANISA"/>
    <m/>
    <s v="RIZKI RAMDHAN"/>
    <m/>
    <s v="SERVICE HANDPHONE"/>
    <m/>
    <x v="0"/>
    <m/>
    <s v="ARI MARWAN"/>
    <m/>
    <x v="0"/>
    <m/>
    <s v="RISKI RAMADHAN"/>
    <m/>
    <s v="BATERAI"/>
    <m/>
    <s v="OPPO"/>
    <m/>
    <s v="Oppo A53"/>
    <m/>
    <s v="JASA71"/>
    <m/>
    <s v="JASA REPAIR"/>
    <m/>
    <n v="0"/>
    <m/>
    <n v="1"/>
    <m/>
    <n v="150000"/>
    <m/>
    <n v="150000"/>
    <m/>
    <s v="RIZKI RAMDHAN"/>
    <m/>
    <s v="N/A"/>
  </r>
  <r>
    <m/>
    <x v="26"/>
    <m/>
    <s v="MF-FP.25290"/>
    <m/>
    <s v="MF-ST.22806"/>
    <m/>
    <d v="2026-05-20T00:00:00"/>
    <m/>
    <s v="Member Reguler"/>
    <m/>
    <s v="C.13371"/>
    <m/>
    <s v="ANISA"/>
    <m/>
    <s v="RIZKI RAMDHAN"/>
    <m/>
    <s v="SERVICE HANDPHONE"/>
    <m/>
    <x v="1"/>
    <m/>
    <s v="ARI MARWAN"/>
    <m/>
    <x v="0"/>
    <m/>
    <s v="RISKI RAMADHAN"/>
    <m/>
    <s v="BATERAI"/>
    <m/>
    <s v="OPPO"/>
    <m/>
    <s v="Oppo A53"/>
    <m/>
    <s v="100599"/>
    <m/>
    <s v="BATER OPP A16/A32/A33/A53/A54/A93 BLP805"/>
    <m/>
    <n v="112576.88153499999"/>
    <m/>
    <n v="1"/>
    <m/>
    <n v="130000"/>
    <m/>
    <n v="130000"/>
    <m/>
    <s v="RIZKI RAMDHAN"/>
    <m/>
    <s v="N/A"/>
  </r>
  <r>
    <m/>
    <x v="26"/>
    <m/>
    <s v="MF-FP.25291"/>
    <m/>
    <s v="MF-ST.22807"/>
    <m/>
    <d v="2026-05-20T00:00:00"/>
    <m/>
    <s v="Member Reguler"/>
    <m/>
    <s v="C.03958"/>
    <m/>
    <s v="PAK TONCIS"/>
    <m/>
    <s v="HANIF"/>
    <m/>
    <s v="SERVICE HANDPHONE"/>
    <m/>
    <x v="0"/>
    <m/>
    <s v="EKO RISDIYANTORO JATIMULYA"/>
    <m/>
    <x v="2"/>
    <m/>
    <s v="HANIF"/>
    <m/>
    <s v="LCD"/>
    <m/>
    <s v="XIAOMI"/>
    <m/>
    <s v="redmi 9c"/>
    <m/>
    <s v="JASA71"/>
    <m/>
    <s v="JASA REPAIR"/>
    <m/>
    <n v="0"/>
    <m/>
    <n v="1"/>
    <m/>
    <n v="200000"/>
    <m/>
    <n v="200000"/>
    <m/>
    <s v="TEGAR PUTRA YANSA SALES"/>
    <m/>
    <s v="N/A"/>
  </r>
  <r>
    <m/>
    <x v="26"/>
    <m/>
    <s v="MF-FP.25291"/>
    <m/>
    <s v="MF-ST.22807"/>
    <m/>
    <d v="2026-05-20T00:00:00"/>
    <m/>
    <s v="Member Reguler"/>
    <m/>
    <s v="C.03958"/>
    <m/>
    <s v="PAK TONCIS"/>
    <m/>
    <s v="HANIF"/>
    <m/>
    <s v="SERVICE HANDPHONE"/>
    <m/>
    <x v="1"/>
    <m/>
    <s v="EKO RISDIYANTORO JATIMULYA"/>
    <m/>
    <x v="2"/>
    <m/>
    <s v="HANIF"/>
    <m/>
    <s v="LCD"/>
    <m/>
    <s v="XIAOMI"/>
    <m/>
    <s v="redmi 9c"/>
    <m/>
    <s v="100120"/>
    <m/>
    <s v="LCD.. XIO REDMI 9A/9C/9I/10A POCO C3/C31 B"/>
    <m/>
    <n v="138022.424769"/>
    <m/>
    <n v="1"/>
    <m/>
    <n v="180000"/>
    <m/>
    <n v="180000"/>
    <m/>
    <s v="TEGAR PUTRA YANSA SALES"/>
    <m/>
    <s v="N/A"/>
  </r>
  <r>
    <m/>
    <x v="26"/>
    <m/>
    <s v="MF-FP.25291"/>
    <m/>
    <s v="MF-ST.22807"/>
    <m/>
    <d v="2026-05-20T00:00:00"/>
    <m/>
    <s v="Member Reguler"/>
    <m/>
    <s v="C.03958"/>
    <m/>
    <s v="PAK TONCIS"/>
    <m/>
    <s v="HANIF"/>
    <m/>
    <s v="SERVICE HANDPHONE"/>
    <m/>
    <x v="2"/>
    <m/>
    <s v="EKO RISDIYANTORO JATIMULYA"/>
    <m/>
    <x v="2"/>
    <m/>
    <s v="HANIF"/>
    <m/>
    <s v="LCD"/>
    <m/>
    <s v="XIAOMI"/>
    <m/>
    <s v="redmi 9c"/>
    <m/>
    <s v="107200"/>
    <m/>
    <s v="LUNA DATA CABLE TYPE-C CB-2EC"/>
    <m/>
    <n v="9500"/>
    <m/>
    <n v="1"/>
    <m/>
    <n v="20000"/>
    <m/>
    <n v="20000"/>
    <m/>
    <s v="TEGAR PUTRA YANSA SALES"/>
    <m/>
    <s v="N/A"/>
  </r>
  <r>
    <m/>
    <x v="26"/>
    <m/>
    <s v="MF-FP.25292"/>
    <m/>
    <s v="MF-ST.22808"/>
    <m/>
    <d v="2026-05-20T00:00:00"/>
    <m/>
    <s v="Member Reguler"/>
    <m/>
    <s v="C.13372"/>
    <m/>
    <s v="ARI SUSANTI"/>
    <m/>
    <s v="RIZKI RAMDHAN"/>
    <m/>
    <s v="SERVICE HANDPHONE"/>
    <m/>
    <x v="0"/>
    <m/>
    <s v="ARI MARWAN"/>
    <m/>
    <x v="0"/>
    <m/>
    <s v="RISKI RAMADHAN"/>
    <m/>
    <s v="BATERAI"/>
    <m/>
    <s v="XIAOMI"/>
    <m/>
    <s v="REDMI 10"/>
    <m/>
    <s v="JASA71"/>
    <m/>
    <s v="JASA REPAIR"/>
    <m/>
    <n v="0"/>
    <m/>
    <n v="1"/>
    <m/>
    <n v="140000"/>
    <m/>
    <n v="140000"/>
    <m/>
    <s v="RISKI RAMADHAN"/>
    <m/>
    <s v="N/A"/>
  </r>
  <r>
    <m/>
    <x v="26"/>
    <m/>
    <s v="MF-FP.25292"/>
    <m/>
    <s v="MF-ST.22808"/>
    <m/>
    <d v="2026-05-20T00:00:00"/>
    <m/>
    <s v="Member Reguler"/>
    <m/>
    <s v="C.13372"/>
    <m/>
    <s v="ARI SUSANTI"/>
    <m/>
    <s v="RIZKI RAMDHAN"/>
    <m/>
    <s v="SERVICE HANDPHONE"/>
    <m/>
    <x v="1"/>
    <m/>
    <s v="ARI MARWAN"/>
    <m/>
    <x v="0"/>
    <m/>
    <s v="RISKI RAMADHAN"/>
    <m/>
    <s v="BATERAI"/>
    <m/>
    <s v="XIAOMI"/>
    <m/>
    <s v="REDMI 10"/>
    <m/>
    <s v="102820"/>
    <m/>
    <s v="BATER XIO POCO M4 5G / POCO M5 BN5H"/>
    <m/>
    <n v="121279.693487"/>
    <m/>
    <n v="1"/>
    <m/>
    <n v="145000"/>
    <m/>
    <n v="145000"/>
    <m/>
    <s v="RISKI RAMADHAN"/>
    <m/>
    <s v="N/A"/>
  </r>
  <r>
    <m/>
    <x v="26"/>
    <m/>
    <s v="MF-FP.25292"/>
    <m/>
    <s v="MF-ST.22808"/>
    <m/>
    <d v="2026-05-20T00:00:00"/>
    <m/>
    <s v="Member Reguler"/>
    <m/>
    <s v="C.13372"/>
    <m/>
    <s v="ARI SUSANTI"/>
    <m/>
    <s v="RIZKI RAMDHAN"/>
    <m/>
    <s v="SERVICE HANDPHONE"/>
    <m/>
    <x v="2"/>
    <m/>
    <s v="ARI MARWAN"/>
    <m/>
    <x v="0"/>
    <m/>
    <s v="RISKI RAMADHAN"/>
    <m/>
    <s v="BATERAI"/>
    <m/>
    <s v="XIAOMI"/>
    <m/>
    <s v="REDMI 10"/>
    <m/>
    <s v="107200"/>
    <m/>
    <s v="LUNA DATA CABLE TYPE-C CB-2EC"/>
    <m/>
    <n v="9500"/>
    <m/>
    <n v="1"/>
    <m/>
    <n v="15000"/>
    <m/>
    <n v="15000"/>
    <m/>
    <s v="RISKI RAMADHAN"/>
    <m/>
    <s v="N/A"/>
  </r>
  <r>
    <m/>
    <x v="26"/>
    <m/>
    <s v="MF-FP.25293"/>
    <m/>
    <s v="MF-ST.22810"/>
    <m/>
    <d v="2026-05-20T00:00:00"/>
    <m/>
    <s v="Member Reguler"/>
    <m/>
    <s v="C.13373"/>
    <m/>
    <s v="NORA"/>
    <m/>
    <s v="RISKI RAMADHAN"/>
    <m/>
    <s v="PENJUALAN AKSESORIS"/>
    <m/>
    <x v="2"/>
    <m/>
    <s v="N/A"/>
    <m/>
    <x v="5"/>
    <m/>
    <s v="HANIF"/>
    <m/>
    <s v="N/A"/>
    <m/>
    <s v="BELUM ADA MERK"/>
    <m/>
    <s v="ROBOT WIRELESS MOUSE"/>
    <m/>
    <s v="106660"/>
    <m/>
    <s v="ROBOT MOUSE M210 GREEN"/>
    <m/>
    <n v="58000"/>
    <m/>
    <n v="1"/>
    <m/>
    <n v="90000"/>
    <m/>
    <n v="90000"/>
    <m/>
    <s v="RISKI RAMADHAN"/>
    <m/>
    <s v="N/A"/>
  </r>
  <r>
    <m/>
    <x v="26"/>
    <m/>
    <s v="MF-FP.25293"/>
    <m/>
    <s v="MF-ST.22810"/>
    <m/>
    <d v="2026-05-20T00:00:00"/>
    <m/>
    <s v="Member Reguler"/>
    <m/>
    <s v="C.13373"/>
    <m/>
    <s v="NORA"/>
    <m/>
    <s v="RISKI RAMADHAN"/>
    <m/>
    <s v="PENJUALAN AKSESORIS"/>
    <m/>
    <x v="2"/>
    <m/>
    <s v="N/A"/>
    <m/>
    <x v="5"/>
    <m/>
    <s v="HANIF"/>
    <m/>
    <s v="N/A"/>
    <m/>
    <s v="BELUM ADA MERK"/>
    <m/>
    <s v="ROBOT WIRELESS MOUSE"/>
    <m/>
    <s v="101017"/>
    <m/>
    <s v="KABEL POWER PC"/>
    <m/>
    <n v="15000"/>
    <m/>
    <n v="1"/>
    <m/>
    <n v="50000"/>
    <m/>
    <n v="50000"/>
    <m/>
    <s v="RISKI RAMADHAN"/>
    <m/>
    <s v="N/A"/>
  </r>
  <r>
    <m/>
    <x v="26"/>
    <m/>
    <s v="MF-FP.25294"/>
    <m/>
    <s v="MF-ST.22809"/>
    <m/>
    <d v="2026-05-20T00:00:00"/>
    <m/>
    <s v="Member Reguler"/>
    <m/>
    <s v="C.13373"/>
    <m/>
    <s v="NORA"/>
    <m/>
    <s v="RIZKI RAMDHAN"/>
    <m/>
    <s v="SERVICE LAPTOP"/>
    <m/>
    <x v="0"/>
    <m/>
    <s v="ABDUL MUNAJAT"/>
    <m/>
    <x v="3"/>
    <m/>
    <s v="HANIF"/>
    <m/>
    <s v="AKTIFASI OFFICE"/>
    <m/>
    <s v="ASUS"/>
    <m/>
    <s v="Asus Vivobook X409DAP"/>
    <m/>
    <s v="JASA71"/>
    <m/>
    <s v="JASA REPAIR"/>
    <m/>
    <n v="0"/>
    <m/>
    <n v="1"/>
    <m/>
    <n v="130000"/>
    <m/>
    <n v="130000"/>
    <m/>
    <s v="RISKI RAMADHAN"/>
    <m/>
    <s v="N/A"/>
  </r>
  <r>
    <m/>
    <x v="26"/>
    <m/>
    <s v="MF-FP.25294"/>
    <m/>
    <s v="MF-ST.22809"/>
    <m/>
    <d v="2026-05-20T00:00:00"/>
    <m/>
    <s v="Member Reguler"/>
    <m/>
    <s v="C.13373"/>
    <m/>
    <s v="NORA"/>
    <m/>
    <s v="RIZKI RAMDHAN"/>
    <m/>
    <s v="SERVICE LAPTOP"/>
    <m/>
    <x v="2"/>
    <m/>
    <s v="ABDUL MUNAJAT"/>
    <m/>
    <x v="3"/>
    <m/>
    <s v="HANIF"/>
    <m/>
    <s v="AKTIFASI OFFICE"/>
    <m/>
    <s v="ASUS"/>
    <m/>
    <s v="Asus Vivobook X409DAP"/>
    <m/>
    <s v="107200"/>
    <m/>
    <s v="LUNA DATA CABLE TYPE-C CB-2EC"/>
    <m/>
    <n v="9500"/>
    <m/>
    <n v="1"/>
    <m/>
    <n v="20000"/>
    <m/>
    <n v="20000"/>
    <m/>
    <s v="RISKI RAMADHAN"/>
    <m/>
    <s v="N/A"/>
  </r>
  <r>
    <m/>
    <x v="26"/>
    <m/>
    <s v="MF-FP.25298"/>
    <m/>
    <s v="MF-ST.22817"/>
    <m/>
    <d v="2026-05-20T00:00:00"/>
    <m/>
    <s v="Member Reguler"/>
    <m/>
    <s v="C.07557"/>
    <m/>
    <s v="DAVID"/>
    <m/>
    <s v="WAHYU PRATAMA"/>
    <m/>
    <s v="SERVICE HANDPHONE"/>
    <m/>
    <x v="0"/>
    <m/>
    <s v="YUVI NOFERIANTO"/>
    <m/>
    <x v="4"/>
    <m/>
    <s v="WAHYU PRATAMA"/>
    <m/>
    <s v="REPAIR"/>
    <m/>
    <s v="APPLE"/>
    <m/>
    <s v="14 PRO"/>
    <m/>
    <s v="JASA71"/>
    <m/>
    <s v="JASA REPAIR"/>
    <m/>
    <n v="0"/>
    <m/>
    <n v="1"/>
    <m/>
    <n v="100000"/>
    <m/>
    <n v="100000"/>
    <m/>
    <s v="Achmad Indrawanto"/>
    <m/>
    <s v="N/A"/>
  </r>
  <r>
    <m/>
    <x v="26"/>
    <m/>
    <s v="MF-FP.25296"/>
    <m/>
    <s v="MF-ST.22812"/>
    <m/>
    <d v="2026-05-20T00:00:00"/>
    <m/>
    <s v="Umum"/>
    <m/>
    <s v="C.13374"/>
    <m/>
    <s v="DWI SUHANTORO"/>
    <m/>
    <s v="WAHYU PRATAMA"/>
    <m/>
    <s v="PENJUALAN LAPTOP"/>
    <m/>
    <x v="5"/>
    <m/>
    <s v="N/A"/>
    <m/>
    <x v="5"/>
    <m/>
    <s v="TEGAR PUTRA YANSA SALES"/>
    <m/>
    <s v="REPAIR"/>
    <m/>
    <s v="LENOVO"/>
    <m/>
    <s v="T14"/>
    <m/>
    <s v="107121"/>
    <m/>
    <s v="LENOVO T14 G2 i7 GEN 11 16/256GB"/>
    <m/>
    <n v="5750000"/>
    <m/>
    <n v="1"/>
    <m/>
    <n v="6540000"/>
    <m/>
    <n v="6540000"/>
    <m/>
    <s v="TEGAR PUTRA YANSA SALES"/>
    <m/>
    <s v="N/A"/>
  </r>
  <r>
    <m/>
    <x v="26"/>
    <m/>
    <s v="MF-FP.25296"/>
    <m/>
    <s v="MF-ST.22812"/>
    <m/>
    <d v="2026-05-20T00:00:00"/>
    <m/>
    <s v="Umum"/>
    <m/>
    <s v="C.13374"/>
    <m/>
    <s v="DWI SUHANTORO"/>
    <m/>
    <s v="WAHYU PRATAMA"/>
    <m/>
    <s v="PENJUALAN LAPTOP"/>
    <m/>
    <x v="2"/>
    <m/>
    <s v="N/A"/>
    <m/>
    <x v="5"/>
    <m/>
    <s v="TEGAR PUTRA YANSA SALES"/>
    <m/>
    <s v="REPAIR"/>
    <m/>
    <s v="LENOVO"/>
    <m/>
    <s v="T14"/>
    <m/>
    <s v="107220"/>
    <m/>
    <s v="ROBOT MOUSE M210 BLACK"/>
    <m/>
    <n v="58000"/>
    <m/>
    <n v="1"/>
    <m/>
    <n v="60000"/>
    <m/>
    <n v="60000"/>
    <m/>
    <s v="TEGAR PUTRA YANSA SALES"/>
    <m/>
    <s v="N/A"/>
  </r>
  <r>
    <m/>
    <x v="26"/>
    <m/>
    <s v="MF-FP.25297"/>
    <m/>
    <s v="MF-ST.22765"/>
    <m/>
    <d v="2026-05-17T00:00:00"/>
    <m/>
    <s v="Umum"/>
    <m/>
    <s v="C.13352"/>
    <m/>
    <s v="MAURIS"/>
    <m/>
    <s v="WAHYU PRATAMA"/>
    <m/>
    <s v="SERVICE HANDPHONE"/>
    <m/>
    <x v="0"/>
    <m/>
    <s v="EKO RISDIYANTORO JATIMULYA"/>
    <m/>
    <x v="2"/>
    <m/>
    <s v="Achmad Indrawanto"/>
    <m/>
    <s v="MATI TOTAL"/>
    <m/>
    <s v="XIAOMI"/>
    <m/>
    <s v="POCO F3"/>
    <m/>
    <s v="JASA71"/>
    <m/>
    <s v="JASA REPAIR"/>
    <m/>
    <n v="0"/>
    <m/>
    <n v="1"/>
    <m/>
    <n v="130000"/>
    <m/>
    <n v="130000"/>
    <m/>
    <m/>
    <m/>
    <s v="N/A"/>
  </r>
  <r>
    <m/>
    <x v="26"/>
    <m/>
    <s v="MF-FP.25297"/>
    <m/>
    <s v="MF-ST.22765"/>
    <m/>
    <d v="2026-05-17T00:00:00"/>
    <m/>
    <s v="Umum"/>
    <m/>
    <s v="C.13352"/>
    <m/>
    <s v="MAURIS"/>
    <m/>
    <s v="WAHYU PRATAMA"/>
    <m/>
    <s v="SERVICE HANDPHONE"/>
    <m/>
    <x v="2"/>
    <m/>
    <s v="EKO RISDIYANTORO JATIMULYA"/>
    <m/>
    <x v="2"/>
    <m/>
    <s v="Achmad Indrawanto"/>
    <m/>
    <s v="MATI TOTAL"/>
    <m/>
    <s v="XIAOMI"/>
    <m/>
    <s v="POCO F3"/>
    <m/>
    <s v="107200"/>
    <m/>
    <s v="LUNA DATA CABLE TYPE-C CB-2EC"/>
    <m/>
    <n v="9500"/>
    <m/>
    <n v="1"/>
    <m/>
    <n v="20000"/>
    <m/>
    <n v="20000"/>
    <m/>
    <m/>
    <m/>
    <s v="N/A"/>
  </r>
  <r>
    <m/>
    <x v="26"/>
    <m/>
    <s v="MF-FP.25301"/>
    <m/>
    <s v="MF-ST.22695"/>
    <m/>
    <d v="2026-05-15T00:00:00"/>
    <m/>
    <s v="Umum"/>
    <m/>
    <s v="C.13314"/>
    <m/>
    <s v="PAK UMAR SAID"/>
    <m/>
    <s v="WAHYU PRATAMA"/>
    <m/>
    <s v="SERVICE LAPTOP"/>
    <m/>
    <x v="2"/>
    <m/>
    <s v="ABDUL MUNAJAT"/>
    <m/>
    <x v="3"/>
    <m/>
    <s v="WAHYU PRATAMA"/>
    <m/>
    <s v="KEYBOARD"/>
    <m/>
    <s v="HP"/>
    <m/>
    <s v="PROBOOK 430 G1"/>
    <m/>
    <s v="107200"/>
    <m/>
    <s v="LUNA DATA CABLE TYPE-C CB-2EC"/>
    <m/>
    <n v="9500"/>
    <m/>
    <n v="1"/>
    <m/>
    <n v="10000"/>
    <m/>
    <n v="10000"/>
    <m/>
    <s v="WAHYU PRATAMA"/>
    <m/>
    <s v="N/A"/>
  </r>
  <r>
    <m/>
    <x v="26"/>
    <m/>
    <s v="MF-FP.25300"/>
    <m/>
    <s v="MF-ST.22615"/>
    <m/>
    <d v="2026-05-12T00:00:00"/>
    <m/>
    <s v="Member Reguler"/>
    <m/>
    <s v="C.13272"/>
    <m/>
    <s v="IWAN"/>
    <m/>
    <s v="RIZKI RAMDHAN"/>
    <m/>
    <s v="SERVICE LAPTOP"/>
    <m/>
    <x v="0"/>
    <m/>
    <s v="ARIFIN SANTOSO JATIMULYA"/>
    <m/>
    <x v="6"/>
    <m/>
    <s v="Achmad Indrawanto"/>
    <m/>
    <s v="REPAIR"/>
    <m/>
    <s v="HP"/>
    <m/>
    <s v="HP 14 CM"/>
    <m/>
    <s v="JASA71"/>
    <m/>
    <s v="JASA REPAIR"/>
    <m/>
    <n v="0"/>
    <m/>
    <n v="1"/>
    <m/>
    <n v="430000"/>
    <m/>
    <n v="430000"/>
    <m/>
    <s v="RIZKI RAMDHAN"/>
    <m/>
    <s v="N/A"/>
  </r>
  <r>
    <m/>
    <x v="26"/>
    <m/>
    <s v="MF-FP.25300"/>
    <m/>
    <s v="MF-ST.22615"/>
    <m/>
    <d v="2026-05-12T00:00:00"/>
    <m/>
    <s v="Member Reguler"/>
    <m/>
    <s v="C.13272"/>
    <m/>
    <s v="IWAN"/>
    <m/>
    <s v="RIZKI RAMDHAN"/>
    <m/>
    <s v="SERVICE LAPTOP"/>
    <m/>
    <x v="2"/>
    <m/>
    <s v="ARIFIN SANTOSO JATIMULYA"/>
    <m/>
    <x v="6"/>
    <m/>
    <s v="Achmad Indrawanto"/>
    <m/>
    <s v="REPAIR"/>
    <m/>
    <s v="HP"/>
    <m/>
    <s v="HP 14 CM"/>
    <m/>
    <s v="107200"/>
    <m/>
    <s v="LUNA DATA CABLE TYPE-C CB-2EC"/>
    <m/>
    <n v="9500"/>
    <m/>
    <n v="1"/>
    <m/>
    <n v="20000"/>
    <m/>
    <n v="20000"/>
    <m/>
    <s v="RIZKI RAMDHAN"/>
    <m/>
    <s v="N/A"/>
  </r>
  <r>
    <m/>
    <x v="26"/>
    <m/>
    <s v="MF-FP.25301"/>
    <m/>
    <s v="MF-ST.22695"/>
    <m/>
    <d v="2026-05-15T00:00:00"/>
    <m/>
    <s v="Umum"/>
    <m/>
    <s v="C.13314"/>
    <m/>
    <s v="PAK UMAR SAID"/>
    <m/>
    <s v="WAHYU PRATAMA"/>
    <m/>
    <s v="SERVICE LAPTOP"/>
    <m/>
    <x v="0"/>
    <m/>
    <s v="ABDUL MUNAJAT"/>
    <m/>
    <x v="3"/>
    <m/>
    <s v="WAHYU PRATAMA"/>
    <m/>
    <s v="KEYBOARD"/>
    <m/>
    <s v="HP"/>
    <m/>
    <s v="PROBOOK 430 G1"/>
    <m/>
    <s v="JASA71"/>
    <m/>
    <s v="JASA REPAIR"/>
    <m/>
    <n v="0"/>
    <m/>
    <n v="1"/>
    <m/>
    <n v="355000"/>
    <m/>
    <n v="355000"/>
    <m/>
    <s v="WAHYU PRATAMA"/>
    <m/>
    <s v="N/A"/>
  </r>
  <r>
    <m/>
    <x v="26"/>
    <m/>
    <s v="MF-FP.25301"/>
    <m/>
    <s v="MF-ST.22695"/>
    <m/>
    <d v="2026-05-15T00:00:00"/>
    <m/>
    <s v="Umum"/>
    <m/>
    <s v="C.13314"/>
    <m/>
    <s v="PAK UMAR SAID"/>
    <m/>
    <s v="WAHYU PRATAMA"/>
    <m/>
    <s v="SERVICE LAPTOP"/>
    <m/>
    <x v="1"/>
    <m/>
    <s v="ABDUL MUNAJAT"/>
    <m/>
    <x v="3"/>
    <m/>
    <s v="WAHYU PRATAMA"/>
    <m/>
    <s v="KEYBOARD"/>
    <m/>
    <s v="HP"/>
    <m/>
    <s v="PROBOOK 430 G1"/>
    <m/>
    <s v="107289"/>
    <m/>
    <s v="KYBRD LPT HP PROBOOK 430 G1 B"/>
    <m/>
    <n v="95022.321429000003"/>
    <m/>
    <n v="1"/>
    <m/>
    <n v="135000"/>
    <m/>
    <n v="135000"/>
    <m/>
    <s v="WAHYU PRATAMA"/>
    <m/>
    <s v="N/A"/>
  </r>
  <r>
    <m/>
    <x v="26"/>
    <m/>
    <s v="MF-FP.25302"/>
    <m/>
    <s v="MF-ST.22820"/>
    <m/>
    <d v="2026-05-20T00:00:00"/>
    <m/>
    <s v="Umum"/>
    <m/>
    <s v="C.04826"/>
    <m/>
    <s v="JAMAL"/>
    <m/>
    <s v="WAHYU PRATAMA"/>
    <m/>
    <s v="SERVICE HANDPHONE"/>
    <m/>
    <x v="0"/>
    <m/>
    <s v="MUSTOFA"/>
    <m/>
    <x v="1"/>
    <m/>
    <s v="WAHYU PRATAMA"/>
    <m/>
    <s v="LCD"/>
    <m/>
    <s v="OPPO"/>
    <m/>
    <s v="A77S"/>
    <m/>
    <s v="JASA71"/>
    <m/>
    <s v="JASA REPAIR"/>
    <m/>
    <n v="0"/>
    <m/>
    <n v="1"/>
    <m/>
    <n v="370000"/>
    <m/>
    <n v="370000"/>
    <m/>
    <m/>
    <m/>
    <s v="N/A"/>
  </r>
  <r>
    <m/>
    <x v="26"/>
    <m/>
    <s v="MF-FP.25302"/>
    <m/>
    <s v="MF-ST.22820"/>
    <m/>
    <d v="2026-05-20T00:00:00"/>
    <m/>
    <s v="Umum"/>
    <m/>
    <s v="C.04826"/>
    <m/>
    <s v="JAMAL"/>
    <m/>
    <s v="WAHYU PRATAMA"/>
    <m/>
    <s v="SERVICE HANDPHONE"/>
    <m/>
    <x v="1"/>
    <m/>
    <s v="MUSTOFA"/>
    <m/>
    <x v="1"/>
    <m/>
    <s v="WAHYU PRATAMA"/>
    <m/>
    <s v="LCD"/>
    <m/>
    <s v="OPPO"/>
    <m/>
    <s v="A77S"/>
    <m/>
    <s v="101036"/>
    <m/>
    <s v="LCD.. OPP A57/A77/A77S/A78/A17/A17K/A18/A38K10 B"/>
    <m/>
    <n v="149000"/>
    <m/>
    <n v="1"/>
    <m/>
    <n v="200000"/>
    <m/>
    <n v="200000"/>
    <m/>
    <m/>
    <m/>
    <s v="N/A"/>
  </r>
  <r>
    <m/>
    <x v="26"/>
    <m/>
    <s v="MF-FP.25302"/>
    <m/>
    <s v="MF-ST.22820"/>
    <m/>
    <d v="2026-05-20T00:00:00"/>
    <m/>
    <s v="Umum"/>
    <m/>
    <s v="C.04826"/>
    <m/>
    <s v="JAMAL"/>
    <m/>
    <s v="WAHYU PRATAMA"/>
    <m/>
    <s v="SERVICE HANDPHONE"/>
    <m/>
    <x v="1"/>
    <m/>
    <s v="MUSTOFA"/>
    <m/>
    <x v="1"/>
    <m/>
    <s v="WAHYU PRATAMA"/>
    <m/>
    <s v="LCD"/>
    <m/>
    <s v="OPPO"/>
    <m/>
    <s v="A77S"/>
    <m/>
    <s v="106022"/>
    <m/>
    <s v="FLVLM OPP A57 4G 2022/A77S"/>
    <m/>
    <n v="8780"/>
    <m/>
    <n v="1"/>
    <m/>
    <n v="10000"/>
    <m/>
    <n v="10000"/>
    <m/>
    <m/>
    <m/>
    <s v="N/A"/>
  </r>
  <r>
    <m/>
    <x v="26"/>
    <m/>
    <s v="MF-FP.25299"/>
    <m/>
    <s v="MF-ST.22814"/>
    <m/>
    <d v="2026-05-20T00:00:00"/>
    <m/>
    <s v="Member Reguler"/>
    <m/>
    <s v="C.13366"/>
    <m/>
    <s v="BAPAK AININ"/>
    <m/>
    <s v="Achmad Indrawanto"/>
    <m/>
    <s v="SERVICE HANDPHONE"/>
    <m/>
    <x v="0"/>
    <m/>
    <s v="EKO RISDIYANTORO JATIMULYA"/>
    <m/>
    <x v="2"/>
    <m/>
    <s v="WAHYU PRATAMA"/>
    <m/>
    <s v="REPAIR"/>
    <m/>
    <s v="SAMSUNG"/>
    <m/>
    <s v="samsung a12"/>
    <m/>
    <s v="JASA71"/>
    <m/>
    <s v="JASA REPAIR"/>
    <m/>
    <n v="0"/>
    <m/>
    <n v="1"/>
    <m/>
    <n v="69000"/>
    <m/>
    <n v="69000"/>
    <m/>
    <s v="Achmad Indrawanto"/>
    <m/>
    <s v="N/A"/>
  </r>
  <r>
    <m/>
    <x v="26"/>
    <m/>
    <s v="MF-FP.25299"/>
    <m/>
    <s v="MF-ST.22814"/>
    <m/>
    <d v="2026-05-20T00:00:00"/>
    <m/>
    <s v="Member Reguler"/>
    <m/>
    <s v="C.13366"/>
    <m/>
    <s v="BAPAK AININ"/>
    <m/>
    <s v="Achmad Indrawanto"/>
    <m/>
    <s v="SERVICE HANDPHONE"/>
    <m/>
    <x v="2"/>
    <m/>
    <s v="EKO RISDIYANTORO JATIMULYA"/>
    <m/>
    <x v="2"/>
    <m/>
    <s v="WAHYU PRATAMA"/>
    <m/>
    <s v="REPAIR"/>
    <m/>
    <s v="SAMSUNG"/>
    <m/>
    <s v="samsung a12"/>
    <m/>
    <s v="107200"/>
    <m/>
    <s v="LUNA DATA CABLE TYPE-C CB-2EC"/>
    <m/>
    <n v="9500"/>
    <m/>
    <n v="1"/>
    <m/>
    <n v="10000"/>
    <m/>
    <n v="10000"/>
    <m/>
    <s v="Achmad Indrawanto"/>
    <m/>
    <s v="N/A"/>
  </r>
  <r>
    <m/>
    <x v="26"/>
    <m/>
    <s v="MF-FP.25299"/>
    <m/>
    <s v="MF-ST.22814"/>
    <m/>
    <d v="2026-05-20T00:00:00"/>
    <m/>
    <s v="Member Reguler"/>
    <m/>
    <s v="C.13366"/>
    <m/>
    <s v="BAPAK AININ"/>
    <m/>
    <s v="Achmad Indrawanto"/>
    <m/>
    <s v="SERVICE HANDPHONE"/>
    <m/>
    <x v="1"/>
    <m/>
    <s v="EKO RISDIYANTORO JATIMULYA"/>
    <m/>
    <x v="2"/>
    <m/>
    <s v="WAHYU PRATAMA"/>
    <m/>
    <s v="REPAIR"/>
    <m/>
    <s v="SAMSUNG"/>
    <m/>
    <s v="samsung a12"/>
    <m/>
    <s v="107305"/>
    <m/>
    <s v="BCKDR SAM M12"/>
    <m/>
    <n v="28000"/>
    <m/>
    <n v="1"/>
    <m/>
    <n v="46000"/>
    <m/>
    <n v="46000"/>
    <m/>
    <s v="Achmad Indrawanto"/>
    <m/>
    <s v="N/A"/>
  </r>
  <r>
    <m/>
    <x v="26"/>
    <m/>
    <s v="MF-FP.25302"/>
    <m/>
    <s v="MF-ST.22820"/>
    <m/>
    <d v="2026-05-20T00:00:00"/>
    <m/>
    <s v="Umum"/>
    <m/>
    <s v="C.04826"/>
    <m/>
    <s v="JAMAL"/>
    <m/>
    <s v="WAHYU PRATAMA"/>
    <m/>
    <s v="SERVICE HANDPHONE"/>
    <m/>
    <x v="2"/>
    <m/>
    <s v="MUSTOFA"/>
    <m/>
    <x v="1"/>
    <m/>
    <s v="WAHYU PRATAMA"/>
    <m/>
    <s v="LCD"/>
    <m/>
    <s v="OPPO"/>
    <m/>
    <s v="A77S"/>
    <m/>
    <s v="107200"/>
    <m/>
    <s v="LUNA DATA CABLE TYPE-C CB-2EC"/>
    <m/>
    <n v="9500"/>
    <m/>
    <n v="1"/>
    <m/>
    <n v="10000"/>
    <m/>
    <n v="10000"/>
    <m/>
    <m/>
    <m/>
    <s v="N/A"/>
  </r>
  <r>
    <m/>
    <x v="26"/>
    <m/>
    <s v="MF-FP.25303"/>
    <m/>
    <s v="MF-ST.22819"/>
    <m/>
    <d v="2026-05-20T00:00:00"/>
    <m/>
    <s v="Umum"/>
    <m/>
    <s v="C.04826"/>
    <m/>
    <s v="JAMAL"/>
    <m/>
    <s v="WAHYU PRATAMA"/>
    <m/>
    <s v="SERVICE HANDPHONE"/>
    <m/>
    <x v="0"/>
    <m/>
    <s v="MUSTOFA"/>
    <m/>
    <x v="1"/>
    <m/>
    <s v="WAHYU PRATAMA"/>
    <m/>
    <s v="REPAIR"/>
    <m/>
    <s v="OPPO"/>
    <m/>
    <s v="A78"/>
    <m/>
    <s v="JASA71"/>
    <m/>
    <s v="JASA REPAIR"/>
    <m/>
    <n v="0"/>
    <m/>
    <n v="1"/>
    <m/>
    <n v="160000"/>
    <m/>
    <n v="160000"/>
    <m/>
    <m/>
    <m/>
    <s v="N/A"/>
  </r>
  <r>
    <m/>
    <x v="26"/>
    <m/>
    <s v="MF-FP.25303"/>
    <m/>
    <s v="MF-ST.22819"/>
    <m/>
    <d v="2026-05-20T00:00:00"/>
    <m/>
    <s v="Umum"/>
    <m/>
    <s v="C.04826"/>
    <m/>
    <s v="JAMAL"/>
    <m/>
    <s v="WAHYU PRATAMA"/>
    <m/>
    <s v="SERVICE HANDPHONE"/>
    <m/>
    <x v="2"/>
    <m/>
    <s v="MUSTOFA"/>
    <m/>
    <x v="1"/>
    <m/>
    <s v="WAHYU PRATAMA"/>
    <m/>
    <s v="REPAIR"/>
    <m/>
    <s v="OPPO"/>
    <m/>
    <s v="A78"/>
    <m/>
    <s v="107200"/>
    <m/>
    <s v="LUNA DATA CABLE TYPE-C CB-2EC"/>
    <m/>
    <n v="9500"/>
    <m/>
    <n v="1"/>
    <m/>
    <n v="10000"/>
    <m/>
    <n v="10000"/>
    <m/>
    <m/>
    <m/>
    <s v="N/A"/>
  </r>
  <r>
    <m/>
    <x v="26"/>
    <m/>
    <s v="MF-FP.25307"/>
    <m/>
    <s v="MF-ST.22825"/>
    <m/>
    <d v="2026-05-20T00:00:00"/>
    <m/>
    <s v="Umum"/>
    <m/>
    <s v="C.06738"/>
    <m/>
    <s v="ari"/>
    <m/>
    <s v="Achmad Indrawanto"/>
    <m/>
    <s v="SERVICE HANDPHONE"/>
    <m/>
    <x v="1"/>
    <m/>
    <s v="MUSTOFA"/>
    <m/>
    <x v="1"/>
    <m/>
    <s v="WAHYU PRATAMA"/>
    <m/>
    <s v="LCD"/>
    <m/>
    <s v="XIAOMI"/>
    <m/>
    <s v="REDMI NOTE 11 4G"/>
    <m/>
    <s v="100373"/>
    <m/>
    <s v="LCD.. XIO REDMI 10/NOTE 11 4G B"/>
    <m/>
    <n v="185000"/>
    <m/>
    <n v="1"/>
    <m/>
    <n v="190000"/>
    <m/>
    <n v="190000"/>
    <m/>
    <m/>
    <m/>
    <s v="N/A"/>
  </r>
  <r>
    <m/>
    <x v="26"/>
    <m/>
    <s v="MF-FP.25307"/>
    <m/>
    <s v="MF-ST.22825"/>
    <m/>
    <d v="2026-05-20T00:00:00"/>
    <m/>
    <s v="Umum"/>
    <m/>
    <s v="C.06738"/>
    <m/>
    <s v="ari"/>
    <m/>
    <s v="Achmad Indrawanto"/>
    <m/>
    <s v="SERVICE HANDPHONE"/>
    <m/>
    <x v="2"/>
    <m/>
    <s v="MUSTOFA"/>
    <m/>
    <x v="1"/>
    <m/>
    <s v="WAHYU PRATAMA"/>
    <m/>
    <s v="LCD"/>
    <m/>
    <s v="XIAOMI"/>
    <m/>
    <s v="REDMI NOTE 11 4G"/>
    <m/>
    <s v="107200"/>
    <m/>
    <s v="LUNA DATA CABLE TYPE-C CB-2EC"/>
    <m/>
    <n v="9500"/>
    <m/>
    <n v="1"/>
    <m/>
    <n v="10000"/>
    <m/>
    <n v="10000"/>
    <m/>
    <m/>
    <m/>
    <s v="N/A"/>
  </r>
  <r>
    <m/>
    <x v="26"/>
    <m/>
    <s v="MF-FP.25305"/>
    <m/>
    <s v="MF-ST.22813"/>
    <m/>
    <d v="2026-05-20T00:00:00"/>
    <m/>
    <s v="Member Reguler"/>
    <m/>
    <s v="C.13375"/>
    <m/>
    <s v="ALHARIS"/>
    <m/>
    <s v="Achmad Indrawanto"/>
    <m/>
    <s v="SERVICE HANDPHONE"/>
    <m/>
    <x v="0"/>
    <m/>
    <s v="YUVI NOFERIANTO"/>
    <m/>
    <x v="4"/>
    <m/>
    <s v="WAHYU PRATAMA"/>
    <m/>
    <s v="LCD"/>
    <m/>
    <s v="VIVO"/>
    <m/>
    <s v="Vivo y12s"/>
    <m/>
    <s v="JASA71"/>
    <m/>
    <s v="JASA REPAIR"/>
    <m/>
    <n v="0"/>
    <m/>
    <n v="1"/>
    <m/>
    <n v="200000"/>
    <m/>
    <n v="200000"/>
    <m/>
    <s v="Achmad Indrawanto"/>
    <m/>
    <s v="N/A"/>
  </r>
  <r>
    <m/>
    <x v="26"/>
    <m/>
    <s v="MF-FP.25305"/>
    <m/>
    <s v="MF-ST.22813"/>
    <m/>
    <d v="2026-05-20T00:00:00"/>
    <m/>
    <s v="Member Reguler"/>
    <m/>
    <s v="C.13375"/>
    <m/>
    <s v="ALHARIS"/>
    <m/>
    <s v="Achmad Indrawanto"/>
    <m/>
    <s v="SERVICE HANDPHONE"/>
    <m/>
    <x v="1"/>
    <m/>
    <s v="YUVI NOFERIANTO"/>
    <m/>
    <x v="4"/>
    <m/>
    <s v="WAHYU PRATAMA"/>
    <m/>
    <s v="LCD"/>
    <m/>
    <s v="VIVO"/>
    <m/>
    <s v="Vivo y12s"/>
    <m/>
    <s v="100109"/>
    <m/>
    <s v="LCD.. VIV Y20/Y20s/Y12s/Y15s/Y01 B FST"/>
    <m/>
    <n v="128080.390457"/>
    <m/>
    <n v="1"/>
    <m/>
    <n v="190000"/>
    <m/>
    <n v="190000"/>
    <m/>
    <s v="Achmad Indrawanto"/>
    <m/>
    <s v="N/A"/>
  </r>
  <r>
    <m/>
    <x v="26"/>
    <m/>
    <s v="MF-FP.25305"/>
    <m/>
    <s v="MF-ST.22813"/>
    <m/>
    <d v="2026-05-20T00:00:00"/>
    <m/>
    <s v="Member Reguler"/>
    <m/>
    <s v="C.13375"/>
    <m/>
    <s v="ALHARIS"/>
    <m/>
    <s v="Achmad Indrawanto"/>
    <m/>
    <s v="SERVICE HANDPHONE"/>
    <m/>
    <x v="2"/>
    <m/>
    <s v="YUVI NOFERIANTO"/>
    <m/>
    <x v="4"/>
    <m/>
    <s v="WAHYU PRATAMA"/>
    <m/>
    <s v="LCD"/>
    <m/>
    <s v="VIVO"/>
    <m/>
    <s v="Vivo y12s"/>
    <m/>
    <s v="107200"/>
    <m/>
    <s v="LUNA DATA CABLE TYPE-C CB-2EC"/>
    <m/>
    <n v="9500"/>
    <m/>
    <n v="1"/>
    <m/>
    <n v="10000"/>
    <m/>
    <n v="10000"/>
    <m/>
    <s v="Achmad Indrawanto"/>
    <m/>
    <s v="N/A"/>
  </r>
  <r>
    <m/>
    <x v="26"/>
    <m/>
    <s v="MF-FP.25304"/>
    <m/>
    <s v="MF-ST.22821"/>
    <m/>
    <d v="2026-05-20T00:00:00"/>
    <m/>
    <s v="Umum"/>
    <m/>
    <s v="C.09632"/>
    <m/>
    <s v="LIDYA MIRA PUSPITA"/>
    <m/>
    <s v="WAHYU PRATAMA"/>
    <m/>
    <s v="SERVICE HANDPHONE"/>
    <m/>
    <x v="1"/>
    <m/>
    <s v="YUVI NOFERIANTO"/>
    <m/>
    <x v="4"/>
    <m/>
    <s v="WAHYU PRATAMA"/>
    <m/>
    <s v="LCD"/>
    <m/>
    <s v="SAMSUNG"/>
    <m/>
    <s v="J6 PLUS"/>
    <m/>
    <s v="100134"/>
    <m/>
    <s v="LCD.. SAM J4 PLUS/J6 PLUS B"/>
    <m/>
    <n v="100613.20523000001"/>
    <m/>
    <n v="1"/>
    <m/>
    <n v="135000"/>
    <m/>
    <n v="135000"/>
    <m/>
    <m/>
    <m/>
    <s v="N/A"/>
  </r>
  <r>
    <m/>
    <x v="26"/>
    <m/>
    <s v="MF-FP.25304"/>
    <m/>
    <s v="MF-ST.22821"/>
    <m/>
    <d v="2026-05-20T00:00:00"/>
    <m/>
    <s v="Umum"/>
    <m/>
    <s v="C.09632"/>
    <m/>
    <s v="LIDYA MIRA PUSPITA"/>
    <m/>
    <s v="WAHYU PRATAMA"/>
    <m/>
    <s v="SERVICE HANDPHONE"/>
    <m/>
    <x v="2"/>
    <m/>
    <s v="YUVI NOFERIANTO"/>
    <m/>
    <x v="4"/>
    <m/>
    <s v="WAHYU PRATAMA"/>
    <m/>
    <s v="LCD"/>
    <m/>
    <s v="SAMSUNG"/>
    <m/>
    <s v="J6 PLUS"/>
    <m/>
    <s v="107200"/>
    <m/>
    <s v="LUNA DATA CABLE TYPE-C CB-2EC"/>
    <m/>
    <n v="9500"/>
    <m/>
    <n v="1"/>
    <m/>
    <n v="10000"/>
    <m/>
    <n v="10000"/>
    <m/>
    <m/>
    <m/>
    <s v="N/A"/>
  </r>
  <r>
    <m/>
    <x v="26"/>
    <m/>
    <s v="MF-FP.25304"/>
    <m/>
    <s v="MF-ST.22821"/>
    <m/>
    <d v="2026-05-20T00:00:00"/>
    <m/>
    <s v="Umum"/>
    <m/>
    <s v="C.09632"/>
    <m/>
    <s v="LIDYA MIRA PUSPITA"/>
    <m/>
    <s v="WAHYU PRATAMA"/>
    <m/>
    <s v="SERVICE HANDPHONE"/>
    <m/>
    <x v="0"/>
    <m/>
    <s v="YUVI NOFERIANTO"/>
    <m/>
    <x v="4"/>
    <m/>
    <s v="WAHYU PRATAMA"/>
    <m/>
    <s v="LCD"/>
    <m/>
    <s v="SAMSUNG"/>
    <m/>
    <s v="J6 PLUS"/>
    <m/>
    <s v="JASA71"/>
    <m/>
    <s v="JASA REPAIR"/>
    <m/>
    <n v="0"/>
    <m/>
    <n v="1"/>
    <m/>
    <n v="5000"/>
    <m/>
    <n v="5000"/>
    <m/>
    <m/>
    <m/>
    <s v="N/A"/>
  </r>
  <r>
    <m/>
    <x v="26"/>
    <m/>
    <s v="MF-FP.25306"/>
    <m/>
    <s v="MF-ST.22815"/>
    <m/>
    <d v="2026-05-20T00:00:00"/>
    <m/>
    <s v="Umum"/>
    <m/>
    <s v="C.13376"/>
    <m/>
    <s v="YUDI"/>
    <m/>
    <s v="WAHYU PRATAMA"/>
    <m/>
    <s v="SERVICE LAPTOP"/>
    <m/>
    <x v="0"/>
    <m/>
    <s v="ABDUL MUNAJAT"/>
    <m/>
    <x v="3"/>
    <m/>
    <s v="WAHYU PRATAMA"/>
    <m/>
    <s v="SSD"/>
    <m/>
    <s v="LENOVO"/>
    <m/>
    <s v="Lenovo Ideapad S134"/>
    <m/>
    <s v="JASA71"/>
    <m/>
    <s v="JASA REPAIR"/>
    <m/>
    <n v="0"/>
    <m/>
    <n v="1"/>
    <m/>
    <n v="1000000"/>
    <m/>
    <n v="1000000"/>
    <m/>
    <m/>
    <m/>
    <s v="N/A"/>
  </r>
  <r>
    <m/>
    <x v="26"/>
    <m/>
    <s v="MF-FP.25306"/>
    <m/>
    <s v="MF-ST.22815"/>
    <m/>
    <d v="2026-05-20T00:00:00"/>
    <m/>
    <s v="Umum"/>
    <m/>
    <s v="C.13376"/>
    <m/>
    <s v="YUDI"/>
    <m/>
    <s v="WAHYU PRATAMA"/>
    <m/>
    <s v="SERVICE LAPTOP"/>
    <m/>
    <x v="1"/>
    <m/>
    <s v="ABDUL MUNAJAT"/>
    <m/>
    <x v="3"/>
    <m/>
    <s v="WAHYU PRATAMA"/>
    <m/>
    <s v="SSD"/>
    <m/>
    <s v="LENOVO"/>
    <m/>
    <s v="Lenovo Ideapad S134"/>
    <m/>
    <s v="100823"/>
    <m/>
    <s v="JOINT HONGTAI SSD N2000 256GB NVME"/>
    <m/>
    <n v="599500"/>
    <m/>
    <n v="1"/>
    <m/>
    <n v="640000"/>
    <m/>
    <n v="640000"/>
    <m/>
    <m/>
    <m/>
    <s v="N/A"/>
  </r>
  <r>
    <m/>
    <x v="26"/>
    <m/>
    <s v="MF-FP.25306"/>
    <m/>
    <s v="MF-ST.22815"/>
    <m/>
    <d v="2026-05-20T00:00:00"/>
    <m/>
    <s v="Umum"/>
    <m/>
    <s v="C.13376"/>
    <m/>
    <s v="YUDI"/>
    <m/>
    <s v="WAHYU PRATAMA"/>
    <m/>
    <s v="SERVICE LAPTOP"/>
    <m/>
    <x v="2"/>
    <m/>
    <s v="ABDUL MUNAJAT"/>
    <m/>
    <x v="3"/>
    <m/>
    <s v="WAHYU PRATAMA"/>
    <m/>
    <s v="SSD"/>
    <m/>
    <s v="LENOVO"/>
    <m/>
    <s v="Lenovo Ideapad S134"/>
    <m/>
    <s v="107200"/>
    <m/>
    <s v="LUNA DATA CABLE TYPE-C CB-2EC"/>
    <m/>
    <n v="9500"/>
    <m/>
    <n v="1"/>
    <m/>
    <n v="10000"/>
    <m/>
    <n v="10000"/>
    <m/>
    <m/>
    <m/>
    <s v="N/A"/>
  </r>
  <r>
    <m/>
    <x v="26"/>
    <m/>
    <s v="MF-FP.25307"/>
    <m/>
    <s v="MF-ST.22825"/>
    <m/>
    <d v="2026-05-20T00:00:00"/>
    <m/>
    <s v="Umum"/>
    <m/>
    <s v="C.06738"/>
    <m/>
    <s v="ari"/>
    <m/>
    <s v="Achmad Indrawanto"/>
    <m/>
    <s v="SERVICE HANDPHONE"/>
    <m/>
    <x v="0"/>
    <m/>
    <s v="MUSTOFA"/>
    <m/>
    <x v="1"/>
    <m/>
    <s v="WAHYU PRATAMA"/>
    <m/>
    <s v="LCD"/>
    <m/>
    <s v="XIAOMI"/>
    <m/>
    <s v="REDMI NOTE 11 4G"/>
    <m/>
    <s v="JASA71"/>
    <m/>
    <s v="JASA REPAIR"/>
    <m/>
    <n v="0"/>
    <m/>
    <n v="1"/>
    <m/>
    <n v="250000"/>
    <m/>
    <n v="250000"/>
    <m/>
    <m/>
    <m/>
    <s v="N/A"/>
  </r>
  <r>
    <m/>
    <x v="27"/>
    <m/>
    <s v="MF-FP.25308"/>
    <m/>
    <s v="MF-ST.22827"/>
    <m/>
    <d v="2026-05-21T00:00:00"/>
    <m/>
    <s v="Member Reguler"/>
    <m/>
    <s v="C.13379"/>
    <m/>
    <s v="SLAMET SUPRATMAN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4160"/>
    <m/>
    <s v="ROBOT CHARGER RT-K10 W TOPLES"/>
    <m/>
    <n v="12843.814992"/>
    <m/>
    <n v="1"/>
    <m/>
    <n v="20000"/>
    <m/>
    <n v="20000"/>
    <m/>
    <s v="Achmad Indrawanto"/>
    <m/>
    <s v="N/A"/>
  </r>
  <r>
    <m/>
    <x v="27"/>
    <m/>
    <s v="MF-FP.25308"/>
    <m/>
    <s v="MF-ST.22827"/>
    <m/>
    <d v="2026-05-21T00:00:00"/>
    <m/>
    <s v="Member Reguler"/>
    <m/>
    <s v="C.13379"/>
    <m/>
    <s v="SLAMET SUPRATMAN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4780"/>
    <m/>
    <s v="ROBOT DATA CABLE RBM100 II COLOURFULL TOPLES"/>
    <m/>
    <n v="6236.8288540000003"/>
    <m/>
    <n v="1"/>
    <m/>
    <n v="15000"/>
    <m/>
    <n v="15000"/>
    <m/>
    <s v="Achmad Indrawanto"/>
    <m/>
    <s v="N/A"/>
  </r>
  <r>
    <m/>
    <x v="27"/>
    <m/>
    <s v="MF-FP.25309"/>
    <m/>
    <s v="MF-ST.22734"/>
    <m/>
    <d v="2026-05-16T00:00:00"/>
    <m/>
    <s v="Umum"/>
    <m/>
    <s v="C.13260"/>
    <m/>
    <s v="RIZKI"/>
    <m/>
    <s v="Achmad Indrawanto"/>
    <m/>
    <s v="SERVICE HANDPHONE"/>
    <m/>
    <x v="1"/>
    <m/>
    <s v="EKO RISDIYANTORO JATIMULYA"/>
    <m/>
    <x v="2"/>
    <m/>
    <s v="Achmad Indrawanto"/>
    <m/>
    <s v="REPAIR"/>
    <m/>
    <s v="XIAOMI"/>
    <m/>
    <s v="poco x3 pro"/>
    <m/>
    <s v="107297"/>
    <m/>
    <s v="FRLCD XIO POCO X3 / X3 PRO ORI"/>
    <m/>
    <n v="67000"/>
    <m/>
    <n v="1"/>
    <m/>
    <n v="100000"/>
    <m/>
    <n v="100000"/>
    <m/>
    <m/>
    <m/>
    <s v="N/A"/>
  </r>
  <r>
    <m/>
    <x v="27"/>
    <m/>
    <s v="MF-FP.25309"/>
    <m/>
    <s v="MF-ST.22734"/>
    <m/>
    <d v="2026-05-16T00:00:00"/>
    <m/>
    <s v="Umum"/>
    <m/>
    <s v="C.13260"/>
    <m/>
    <s v="RIZKI"/>
    <m/>
    <s v="Achmad Indrawanto"/>
    <m/>
    <s v="SERVICE HANDPHONE"/>
    <m/>
    <x v="1"/>
    <m/>
    <s v="EKO RISDIYANTORO JATIMULYA"/>
    <m/>
    <x v="2"/>
    <m/>
    <s v="Achmad Indrawanto"/>
    <m/>
    <s v="REPAIR"/>
    <m/>
    <s v="XIAOMI"/>
    <m/>
    <s v="poco x3 pro"/>
    <m/>
    <s v="101690"/>
    <m/>
    <s v="FLBRD XIO POCO X3/X3 PRO"/>
    <m/>
    <n v="10597.258298999999"/>
    <m/>
    <n v="1"/>
    <m/>
    <n v="20000"/>
    <m/>
    <n v="20000"/>
    <m/>
    <m/>
    <m/>
    <s v="N/A"/>
  </r>
  <r>
    <m/>
    <x v="27"/>
    <m/>
    <s v="MF-FP.25309"/>
    <m/>
    <s v="MF-ST.22734"/>
    <m/>
    <d v="2026-05-16T00:00:00"/>
    <m/>
    <s v="Umum"/>
    <m/>
    <s v="C.13260"/>
    <m/>
    <s v="RIZKI"/>
    <m/>
    <s v="Achmad Indrawanto"/>
    <m/>
    <s v="SERVICE HANDPHONE"/>
    <m/>
    <x v="1"/>
    <m/>
    <s v="EKO RISDIYANTORO JATIMULYA"/>
    <m/>
    <x v="2"/>
    <m/>
    <s v="Achmad Indrawanto"/>
    <m/>
    <s v="REPAIR"/>
    <m/>
    <s v="XIAOMI"/>
    <m/>
    <s v="poco x3 pro"/>
    <m/>
    <s v="104627"/>
    <m/>
    <s v="FLCRG XIO POCO X3 NFC/X3 PRO"/>
    <m/>
    <n v="17731.040403999999"/>
    <m/>
    <n v="1"/>
    <m/>
    <n v="30000"/>
    <m/>
    <n v="30000"/>
    <m/>
    <m/>
    <m/>
    <s v="N/A"/>
  </r>
  <r>
    <m/>
    <x v="27"/>
    <m/>
    <s v="MF-FP.25309"/>
    <m/>
    <s v="MF-ST.22734"/>
    <m/>
    <d v="2026-05-16T00:00:00"/>
    <m/>
    <s v="Umum"/>
    <m/>
    <s v="C.13260"/>
    <m/>
    <s v="RIZKI"/>
    <m/>
    <s v="Achmad Indrawanto"/>
    <m/>
    <s v="SERVICE HANDPHONE"/>
    <m/>
    <x v="2"/>
    <m/>
    <s v="EKO RISDIYANTORO JATIMULYA"/>
    <m/>
    <x v="2"/>
    <m/>
    <s v="Achmad Indrawanto"/>
    <m/>
    <s v="REPAIR"/>
    <m/>
    <s v="XIAOMI"/>
    <m/>
    <s v="poco x3 pro"/>
    <m/>
    <s v="107200"/>
    <m/>
    <s v="LUNA DATA CABLE TYPE-C CB-2EC"/>
    <m/>
    <n v="9500"/>
    <m/>
    <n v="1"/>
    <m/>
    <n v="20000"/>
    <m/>
    <n v="20000"/>
    <m/>
    <m/>
    <m/>
    <s v="N/A"/>
  </r>
  <r>
    <m/>
    <x v="27"/>
    <m/>
    <s v="MF-FP.25331"/>
    <m/>
    <s v="MF-ST.22845"/>
    <m/>
    <d v="2026-05-21T00:00:00"/>
    <m/>
    <s v="Umum"/>
    <m/>
    <s v="C.05192"/>
    <m/>
    <s v="ZAHRA"/>
    <m/>
    <s v="WAHYU PRATAMA"/>
    <m/>
    <s v="SERVICE LAPTOP"/>
    <m/>
    <x v="0"/>
    <m/>
    <s v="ABDUL MUNAJAT"/>
    <m/>
    <x v="3"/>
    <m/>
    <s v="WAHYU PRATAMA"/>
    <m/>
    <s v="CLEAN UP"/>
    <m/>
    <s v="LENOVO"/>
    <m/>
    <s v="Lenovo thinkpad x270"/>
    <m/>
    <s v="JASA71"/>
    <m/>
    <s v="JASA REPAIR"/>
    <m/>
    <n v="0"/>
    <m/>
    <n v="1"/>
    <m/>
    <n v="240000"/>
    <m/>
    <n v="240000"/>
    <m/>
    <m/>
    <m/>
    <s v="N/A"/>
  </r>
  <r>
    <m/>
    <x v="27"/>
    <m/>
    <s v="MF-FP.25331"/>
    <m/>
    <s v="MF-ST.22845"/>
    <m/>
    <d v="2026-05-21T00:00:00"/>
    <m/>
    <s v="Umum"/>
    <m/>
    <s v="C.05192"/>
    <m/>
    <s v="ZAHRA"/>
    <m/>
    <s v="WAHYU PRATAMA"/>
    <m/>
    <s v="SERVICE LAPTOP"/>
    <m/>
    <x v="2"/>
    <m/>
    <s v="ABDUL MUNAJAT"/>
    <m/>
    <x v="3"/>
    <m/>
    <s v="WAHYU PRATAMA"/>
    <m/>
    <s v="CLEAN UP"/>
    <m/>
    <s v="LENOVO"/>
    <m/>
    <s v="Lenovo thinkpad x270"/>
    <m/>
    <s v="107200"/>
    <m/>
    <s v="LUNA DATA CABLE TYPE-C CB-2EC"/>
    <m/>
    <n v="9500"/>
    <m/>
    <n v="1"/>
    <m/>
    <n v="10000"/>
    <m/>
    <n v="10000"/>
    <m/>
    <m/>
    <m/>
    <s v="N/A"/>
  </r>
  <r>
    <m/>
    <x v="27"/>
    <m/>
    <s v="MF-FP.25312"/>
    <m/>
    <s v="MF-ST.20674"/>
    <m/>
    <d v="2026-03-05T00:00:00"/>
    <m/>
    <s v="Member Reguler"/>
    <m/>
    <s v="MR104331"/>
    <m/>
    <s v="MUSA MARBUN"/>
    <m/>
    <s v="Achmad Indrawanto"/>
    <m/>
    <s v="SERVICE LAPTOP"/>
    <m/>
    <x v="1"/>
    <m/>
    <s v="ARIFIN SANTOSO JATIMULYA"/>
    <m/>
    <x v="6"/>
    <m/>
    <s v="Achmad Indrawanto"/>
    <m/>
    <s v="LCD"/>
    <m/>
    <s v="ACER"/>
    <m/>
    <s v="Acer SPIN 3 SP314"/>
    <m/>
    <s v="107252"/>
    <m/>
    <s v="LCD.. LPT ACR SP314-53GN TC"/>
    <m/>
    <n v="2550000"/>
    <m/>
    <n v="1"/>
    <m/>
    <n v="2800000"/>
    <m/>
    <n v="2800000"/>
    <m/>
    <s v="Achmad Indrawanto"/>
    <m/>
    <s v="N/A"/>
  </r>
  <r>
    <m/>
    <x v="27"/>
    <m/>
    <s v="MF-FP.25310"/>
    <m/>
    <s v="MF-ST.22664"/>
    <m/>
    <d v="2026-05-14T00:00:00"/>
    <m/>
    <s v="Member Reguler"/>
    <m/>
    <s v="C.13300"/>
    <m/>
    <s v="HAMAS"/>
    <m/>
    <s v="Achmad Indrawanto"/>
    <m/>
    <s v="SERVICE LAPTOP"/>
    <m/>
    <x v="0"/>
    <m/>
    <s v="ABDUL MUNAJAT"/>
    <m/>
    <x v="3"/>
    <m/>
    <s v="Achmad Indrawanto"/>
    <m/>
    <s v="CLEAN UP"/>
    <m/>
    <s v="ASUS"/>
    <m/>
    <s v="Asus X441BA"/>
    <m/>
    <s v="JASA71"/>
    <m/>
    <s v="JASA REPAIR"/>
    <m/>
    <n v="0"/>
    <m/>
    <n v="1"/>
    <m/>
    <n v="1180000"/>
    <m/>
    <n v="1180000"/>
    <m/>
    <s v="Achmad Indrawanto"/>
    <m/>
    <s v="N/A"/>
  </r>
  <r>
    <m/>
    <x v="27"/>
    <m/>
    <s v="MF-FP.25310"/>
    <m/>
    <s v="MF-ST.22664"/>
    <m/>
    <d v="2026-05-14T00:00:00"/>
    <m/>
    <s v="Member Reguler"/>
    <m/>
    <s v="C.13300"/>
    <m/>
    <s v="HAMAS"/>
    <m/>
    <s v="Achmad Indrawanto"/>
    <m/>
    <s v="SERVICE LAPTOP"/>
    <m/>
    <x v="2"/>
    <m/>
    <s v="ABDUL MUNAJAT"/>
    <m/>
    <x v="3"/>
    <m/>
    <s v="Achmad Indrawanto"/>
    <m/>
    <s v="CLEAN UP"/>
    <m/>
    <s v="ASUS"/>
    <m/>
    <s v="Asus X441BA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7"/>
    <m/>
    <s v="MF-FP.25312"/>
    <m/>
    <s v="MF-ST.20674"/>
    <m/>
    <d v="2026-03-05T00:00:00"/>
    <m/>
    <s v="Member Reguler"/>
    <m/>
    <s v="MR104331"/>
    <m/>
    <s v="MUSA MARBUN"/>
    <m/>
    <s v="Achmad Indrawanto"/>
    <m/>
    <s v="SERVICE LAPTOP"/>
    <m/>
    <x v="2"/>
    <m/>
    <s v="ARIFIN SANTOSO JATIMULYA"/>
    <m/>
    <x v="6"/>
    <m/>
    <s v="Achmad Indrawanto"/>
    <m/>
    <s v="LCD"/>
    <m/>
    <s v="ACER"/>
    <m/>
    <s v="Acer SPIN 3 SP314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7"/>
    <m/>
    <s v="MF-FP.25311"/>
    <m/>
    <s v="MF-ST.22828"/>
    <m/>
    <d v="2026-05-21T00:00:00"/>
    <m/>
    <s v="Member Reguler"/>
    <m/>
    <s v="C.07365"/>
    <m/>
    <s v="DEWI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N/A"/>
    <m/>
    <s v="100024"/>
    <m/>
    <s v="VIVAN HYDROGEL BASIC ANTI GLARE VSP03T"/>
    <m/>
    <n v="14190.080550000001"/>
    <m/>
    <n v="1"/>
    <m/>
    <n v="75000"/>
    <m/>
    <n v="75000"/>
    <m/>
    <s v="Achmad Indrawanto"/>
    <m/>
    <s v="N/A"/>
  </r>
  <r>
    <m/>
    <x v="27"/>
    <m/>
    <s v="MF-FP.25312"/>
    <m/>
    <s v="MF-ST.20674"/>
    <m/>
    <d v="2026-03-05T00:00:00"/>
    <m/>
    <s v="Member Reguler"/>
    <m/>
    <s v="MR104331"/>
    <m/>
    <s v="MUSA MARBUN"/>
    <m/>
    <s v="Achmad Indrawanto"/>
    <m/>
    <s v="SERVICE LAPTOP"/>
    <m/>
    <x v="0"/>
    <m/>
    <s v="ARIFIN SANTOSO JATIMULYA"/>
    <m/>
    <x v="6"/>
    <m/>
    <s v="Achmad Indrawanto"/>
    <m/>
    <s v="LCD"/>
    <m/>
    <s v="ACER"/>
    <m/>
    <s v="Acer SPIN 3 SP314"/>
    <m/>
    <s v="JASA71"/>
    <m/>
    <s v="JASA REPAIR"/>
    <m/>
    <n v="0"/>
    <m/>
    <n v="1"/>
    <m/>
    <n v="930000"/>
    <m/>
    <n v="930000"/>
    <m/>
    <s v="Achmad Indrawanto"/>
    <m/>
    <s v="N/A"/>
  </r>
  <r>
    <m/>
    <x v="27"/>
    <m/>
    <s v="MF-FP.25317"/>
    <m/>
    <s v="MF-ST.22831"/>
    <m/>
    <d v="2026-05-21T00:00:00"/>
    <m/>
    <s v="Umum"/>
    <m/>
    <s v="C.08019"/>
    <m/>
    <s v="BU SHINTA DESTIANA"/>
    <m/>
    <s v="Achmad Indrawanto"/>
    <m/>
    <s v="SERVICE HANDPHONE"/>
    <m/>
    <x v="0"/>
    <m/>
    <s v="YUVI NOFERIANTO"/>
    <m/>
    <x v="4"/>
    <m/>
    <s v="HANIF"/>
    <m/>
    <s v="LCD"/>
    <m/>
    <s v="XIAOMI"/>
    <m/>
    <s v="Redmi note 9"/>
    <m/>
    <s v="JASA71"/>
    <m/>
    <s v="JASA REPAIR"/>
    <m/>
    <n v="0"/>
    <m/>
    <n v="1"/>
    <m/>
    <n v="170000"/>
    <m/>
    <n v="170000"/>
    <m/>
    <m/>
    <m/>
    <s v="N/A"/>
  </r>
  <r>
    <m/>
    <x v="27"/>
    <m/>
    <s v="MF-FP.25314"/>
    <m/>
    <s v="MF-ST.22800"/>
    <m/>
    <d v="2026-05-19T00:00:00"/>
    <m/>
    <s v="Member Reguler"/>
    <m/>
    <s v="C.13211"/>
    <m/>
    <s v="ILHAM"/>
    <m/>
    <s v="HANIF"/>
    <m/>
    <s v="SERVICE LAPTOP"/>
    <m/>
    <x v="2"/>
    <m/>
    <s v="ABDUL MUNAJAT"/>
    <m/>
    <x v="0"/>
    <m/>
    <s v="Achmad Indrawanto"/>
    <m/>
    <s v="KEYBOARD"/>
    <m/>
    <s v="ASUS"/>
    <m/>
    <s v="Asus A407u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7"/>
    <m/>
    <s v="MF-FP.25313"/>
    <m/>
    <s v="MF-ST.22830"/>
    <m/>
    <d v="2026-05-21T00:00:00"/>
    <m/>
    <s v="Member Reguler"/>
    <m/>
    <s v="C.13380"/>
    <m/>
    <s v="ROHNU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ROBOT M102"/>
    <m/>
    <s v="106942"/>
    <m/>
    <s v="ROBOT MOUSE KABEL M102"/>
    <m/>
    <n v="20000"/>
    <m/>
    <n v="1"/>
    <m/>
    <n v="40000"/>
    <m/>
    <n v="40000"/>
    <m/>
    <s v="Achmad Indrawanto"/>
    <m/>
    <s v="N/A"/>
  </r>
  <r>
    <m/>
    <x v="27"/>
    <m/>
    <s v="MF-FP.25317"/>
    <m/>
    <s v="MF-ST.22831"/>
    <m/>
    <d v="2026-05-21T00:00:00"/>
    <m/>
    <s v="Umum"/>
    <m/>
    <s v="C.08019"/>
    <m/>
    <s v="BU SHINTA DESTIANA"/>
    <m/>
    <s v="Achmad Indrawanto"/>
    <m/>
    <s v="SERVICE HANDPHONE"/>
    <m/>
    <x v="1"/>
    <m/>
    <s v="YUVI NOFERIANTO"/>
    <m/>
    <x v="4"/>
    <m/>
    <s v="HANIF"/>
    <m/>
    <s v="LCD"/>
    <m/>
    <s v="XIAOMI"/>
    <m/>
    <s v="Redmi note 9"/>
    <m/>
    <s v="103890"/>
    <m/>
    <s v="LCD.. XIO REDMI NOTE 9 5G/9T 5G"/>
    <m/>
    <n v="192500"/>
    <m/>
    <n v="1"/>
    <m/>
    <n v="260000"/>
    <m/>
    <n v="260000"/>
    <m/>
    <m/>
    <m/>
    <s v="N/A"/>
  </r>
  <r>
    <m/>
    <x v="27"/>
    <m/>
    <s v="MF-FP.25314"/>
    <m/>
    <s v="MF-ST.22800"/>
    <m/>
    <d v="2026-05-19T00:00:00"/>
    <m/>
    <s v="Member Reguler"/>
    <m/>
    <s v="C.13211"/>
    <m/>
    <s v="ILHAM"/>
    <m/>
    <s v="HANIF"/>
    <m/>
    <s v="SERVICE LAPTOP"/>
    <m/>
    <x v="0"/>
    <m/>
    <s v="ABDUL MUNAJAT"/>
    <m/>
    <x v="0"/>
    <m/>
    <s v="Achmad Indrawanto"/>
    <m/>
    <s v="KEYBOARD"/>
    <m/>
    <s v="ASUS"/>
    <m/>
    <s v="Asus A407u"/>
    <m/>
    <s v="JASA71"/>
    <m/>
    <s v="JASA REPAIR"/>
    <m/>
    <n v="0"/>
    <m/>
    <n v="1"/>
    <m/>
    <n v="380000"/>
    <m/>
    <n v="380000"/>
    <m/>
    <s v="Achmad Indrawanto"/>
    <m/>
    <s v="N/A"/>
  </r>
  <r>
    <m/>
    <x v="27"/>
    <m/>
    <s v="MF-FP.25314"/>
    <m/>
    <s v="MF-ST.22800"/>
    <m/>
    <d v="2026-05-19T00:00:00"/>
    <m/>
    <s v="Member Reguler"/>
    <m/>
    <s v="C.13211"/>
    <m/>
    <s v="ILHAM"/>
    <m/>
    <s v="HANIF"/>
    <m/>
    <s v="SERVICE LAPTOP"/>
    <m/>
    <x v="1"/>
    <m/>
    <s v="ABDUL MUNAJAT"/>
    <m/>
    <x v="0"/>
    <m/>
    <s v="Achmad Indrawanto"/>
    <m/>
    <s v="KEYBOARD"/>
    <m/>
    <s v="ASUS"/>
    <m/>
    <s v="Asus A407u"/>
    <m/>
    <s v="105385"/>
    <m/>
    <s v="KYBRD LPT ASS A407 A407U"/>
    <m/>
    <n v="87111.111111000006"/>
    <m/>
    <n v="1"/>
    <m/>
    <n v="150000"/>
    <m/>
    <n v="150000"/>
    <m/>
    <s v="Achmad Indrawanto"/>
    <m/>
    <s v="N/A"/>
  </r>
  <r>
    <m/>
    <x v="27"/>
    <m/>
    <s v="MF-FP.25316"/>
    <m/>
    <s v="MF-ST.22816"/>
    <m/>
    <d v="2026-05-20T00:00:00"/>
    <m/>
    <s v="Member Reguler"/>
    <m/>
    <s v="C.13377"/>
    <m/>
    <s v="NURIS"/>
    <m/>
    <s v="WAHYU PRATAMA"/>
    <m/>
    <s v="SERVICE LAPTOP"/>
    <m/>
    <x v="0"/>
    <m/>
    <s v="ARIFIN SANTOSO JATIMULYA"/>
    <m/>
    <x v="6"/>
    <m/>
    <s v="Achmad Indrawanto"/>
    <m/>
    <s v="SSD"/>
    <m/>
    <s v="LENOVO"/>
    <m/>
    <s v="Lenovo ideapad 1"/>
    <m/>
    <s v="JASA71"/>
    <m/>
    <s v="JASA REPAIR"/>
    <m/>
    <n v="0"/>
    <m/>
    <n v="1"/>
    <m/>
    <n v="580000"/>
    <m/>
    <n v="580000"/>
    <m/>
    <s v="Achmad Indrawanto"/>
    <m/>
    <s v="N/A"/>
  </r>
  <r>
    <m/>
    <x v="27"/>
    <m/>
    <s v="MF-FP.25316"/>
    <m/>
    <s v="MF-ST.22816"/>
    <m/>
    <d v="2026-05-20T00:00:00"/>
    <m/>
    <s v="Member Reguler"/>
    <m/>
    <s v="C.13377"/>
    <m/>
    <s v="NURIS"/>
    <m/>
    <s v="WAHYU PRATAMA"/>
    <m/>
    <s v="SERVICE LAPTOP"/>
    <m/>
    <x v="1"/>
    <m/>
    <s v="ARIFIN SANTOSO JATIMULYA"/>
    <m/>
    <x v="6"/>
    <m/>
    <s v="Achmad Indrawanto"/>
    <m/>
    <s v="SSD"/>
    <m/>
    <s v="LENOVO"/>
    <m/>
    <s v="Lenovo ideapad 1"/>
    <m/>
    <s v="100823"/>
    <m/>
    <s v="JOINT HONGTAI SSD N2000 256GB NVME"/>
    <m/>
    <n v="599500"/>
    <m/>
    <n v="1"/>
    <m/>
    <n v="700000"/>
    <m/>
    <n v="700000"/>
    <m/>
    <s v="Achmad Indrawanto"/>
    <m/>
    <s v="N/A"/>
  </r>
  <r>
    <m/>
    <x v="27"/>
    <m/>
    <s v="MF-FP.25316"/>
    <m/>
    <s v="MF-ST.22816"/>
    <m/>
    <d v="2026-05-20T00:00:00"/>
    <m/>
    <s v="Member Reguler"/>
    <m/>
    <s v="C.13377"/>
    <m/>
    <s v="NURIS"/>
    <m/>
    <s v="WAHYU PRATAMA"/>
    <m/>
    <s v="SERVICE LAPTOP"/>
    <m/>
    <x v="2"/>
    <m/>
    <s v="ARIFIN SANTOSO JATIMULYA"/>
    <m/>
    <x v="6"/>
    <m/>
    <s v="Achmad Indrawanto"/>
    <m/>
    <s v="SSD"/>
    <m/>
    <s v="LENOVO"/>
    <m/>
    <s v="Lenovo ideapad 1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7"/>
    <m/>
    <s v="MF-FP.25317"/>
    <m/>
    <s v="MF-ST.22831"/>
    <m/>
    <d v="2026-05-21T00:00:00"/>
    <m/>
    <s v="Umum"/>
    <m/>
    <s v="C.08019"/>
    <m/>
    <s v="BU SHINTA DESTIANA"/>
    <m/>
    <s v="Achmad Indrawanto"/>
    <m/>
    <s v="SERVICE HANDPHONE"/>
    <m/>
    <x v="2"/>
    <m/>
    <s v="YUVI NOFERIANTO"/>
    <m/>
    <x v="4"/>
    <m/>
    <s v="HANIF"/>
    <m/>
    <s v="LCD"/>
    <m/>
    <s v="XIAOMI"/>
    <m/>
    <s v="Redmi note 9"/>
    <m/>
    <s v="107200"/>
    <m/>
    <s v="LUNA DATA CABLE TYPE-C CB-2EC"/>
    <m/>
    <n v="9500"/>
    <m/>
    <n v="1"/>
    <m/>
    <n v="20000"/>
    <m/>
    <n v="20000"/>
    <m/>
    <m/>
    <m/>
    <s v="N/A"/>
  </r>
  <r>
    <m/>
    <x v="27"/>
    <m/>
    <s v="MF-FP.25309"/>
    <m/>
    <s v="MF-ST.22734"/>
    <m/>
    <d v="2026-05-16T00:00:00"/>
    <m/>
    <s v="Umum"/>
    <m/>
    <s v="C.13260"/>
    <m/>
    <s v="RIZKI"/>
    <m/>
    <s v="Achmad Indrawanto"/>
    <m/>
    <s v="SERVICE HANDPHONE"/>
    <m/>
    <x v="0"/>
    <m/>
    <s v="EKO RISDIYANTORO JATIMULYA"/>
    <m/>
    <x v="2"/>
    <m/>
    <s v="Achmad Indrawanto"/>
    <m/>
    <s v="REPAIR"/>
    <m/>
    <s v="XIAOMI"/>
    <m/>
    <s v="poco x3 pro"/>
    <m/>
    <s v="JASA71"/>
    <m/>
    <s v="JASA REPAIR"/>
    <m/>
    <n v="0"/>
    <m/>
    <n v="1"/>
    <m/>
    <n v="480000"/>
    <m/>
    <n v="480000"/>
    <m/>
    <m/>
    <m/>
    <s v="N/A"/>
  </r>
  <r>
    <m/>
    <x v="27"/>
    <m/>
    <s v="MF-FP.25315"/>
    <m/>
    <s v="MF-ST.22835"/>
    <m/>
    <d v="2026-05-21T00:00:00"/>
    <m/>
    <s v="Member Reguler"/>
    <m/>
    <s v="MJ01"/>
    <m/>
    <s v="UMUM"/>
    <m/>
    <s v="Achmad Indrawanto"/>
    <m/>
    <s v="SERVICE HANDPHONE"/>
    <m/>
    <x v="0"/>
    <m/>
    <s v="YUVI NOFERIANTO"/>
    <m/>
    <x v="4"/>
    <m/>
    <s v="Achmad Indrawanto"/>
    <m/>
    <s v="REPAIR"/>
    <m/>
    <s v="BELUM ADA MERK"/>
    <m/>
    <s v="N/A"/>
    <m/>
    <s v="JASA71"/>
    <m/>
    <s v="JASA REPAIR"/>
    <m/>
    <n v="0"/>
    <m/>
    <n v="1"/>
    <m/>
    <n v="35000"/>
    <m/>
    <n v="35000"/>
    <m/>
    <m/>
    <m/>
    <s v="N/A"/>
  </r>
  <r>
    <m/>
    <x v="27"/>
    <m/>
    <s v="MF-FP.25318"/>
    <m/>
    <s v="MF-ST.22529"/>
    <m/>
    <d v="2026-05-09T00:00:00"/>
    <m/>
    <s v="Member Reguler"/>
    <m/>
    <s v="MJ0001"/>
    <m/>
    <s v="Ibu Masturoh (Bendahara Al-Mu'liyah)"/>
    <m/>
    <s v="WAHYU PRATAMA"/>
    <m/>
    <s v="SERVICE HANDPHONE"/>
    <m/>
    <x v="0"/>
    <m/>
    <s v="ABDUL MUNAJAT"/>
    <m/>
    <x v="3"/>
    <m/>
    <s v="HANIF"/>
    <m/>
    <s v="REPAIR"/>
    <m/>
    <s v="ASUS"/>
    <m/>
    <s v="M409D"/>
    <m/>
    <s v="JASA71"/>
    <m/>
    <s v="JASA REPAIR"/>
    <m/>
    <n v="0"/>
    <m/>
    <n v="1"/>
    <m/>
    <n v="630000"/>
    <m/>
    <n v="630000"/>
    <m/>
    <s v="Syarif"/>
    <m/>
    <s v="N/A"/>
  </r>
  <r>
    <m/>
    <x v="27"/>
    <m/>
    <s v="MF-FP.25318"/>
    <m/>
    <s v="MF-ST.22529"/>
    <m/>
    <d v="2026-05-09T00:00:00"/>
    <m/>
    <s v="Member Reguler"/>
    <m/>
    <s v="MJ0001"/>
    <m/>
    <s v="Ibu Masturoh (Bendahara Al-Mu'liyah)"/>
    <m/>
    <s v="WAHYU PRATAMA"/>
    <m/>
    <s v="SERVICE HANDPHONE"/>
    <m/>
    <x v="1"/>
    <m/>
    <s v="ABDUL MUNAJAT"/>
    <m/>
    <x v="3"/>
    <m/>
    <s v="HANIF"/>
    <m/>
    <s v="REPAIR"/>
    <m/>
    <s v="ASUS"/>
    <m/>
    <s v="M409D"/>
    <m/>
    <s v="103587"/>
    <m/>
    <s v="ADPTR LPT ASS 19V 2.37A 4.0*1.7 KOTAK"/>
    <m/>
    <n v="70051.486329000007"/>
    <m/>
    <n v="1"/>
    <m/>
    <n v="250000"/>
    <m/>
    <n v="250000"/>
    <m/>
    <s v="Syarif"/>
    <m/>
    <s v="N/A"/>
  </r>
  <r>
    <m/>
    <x v="27"/>
    <m/>
    <s v="MF-FP.25318"/>
    <m/>
    <s v="MF-ST.22529"/>
    <m/>
    <d v="2026-05-09T00:00:00"/>
    <m/>
    <s v="Member Reguler"/>
    <m/>
    <s v="MJ0001"/>
    <m/>
    <s v="Ibu Masturoh (Bendahara Al-Mu'liyah)"/>
    <m/>
    <s v="WAHYU PRATAMA"/>
    <m/>
    <s v="SERVICE HANDPHONE"/>
    <m/>
    <x v="2"/>
    <m/>
    <s v="ABDUL MUNAJAT"/>
    <m/>
    <x v="3"/>
    <m/>
    <s v="HANIF"/>
    <m/>
    <s v="REPAIR"/>
    <m/>
    <s v="ASUS"/>
    <m/>
    <s v="M409D"/>
    <m/>
    <s v="107200"/>
    <m/>
    <s v="LUNA DATA CABLE TYPE-C CB-2EC"/>
    <m/>
    <n v="9500"/>
    <m/>
    <n v="1"/>
    <m/>
    <n v="20000"/>
    <m/>
    <n v="20000"/>
    <m/>
    <s v="Syarif"/>
    <m/>
    <s v="N/A"/>
  </r>
  <r>
    <m/>
    <x v="27"/>
    <m/>
    <s v="MF-FP.25322"/>
    <m/>
    <s v="MF-ST.22822"/>
    <m/>
    <d v="2026-05-20T00:00:00"/>
    <m/>
    <s v="Member Reguler"/>
    <m/>
    <s v="C.02089"/>
    <m/>
    <s v="MAHDIANSYAH"/>
    <m/>
    <s v="WAHYU PRATAMA"/>
    <m/>
    <s v="SERVICE HANDPHONE"/>
    <m/>
    <x v="0"/>
    <m/>
    <s v="YUVI NOFERIANTO"/>
    <m/>
    <x v="4"/>
    <m/>
    <s v="WAHYU PRATAMA"/>
    <m/>
    <s v="LCD"/>
    <m/>
    <s v="BELUM ADA MERK"/>
    <m/>
    <s v="Tecno pova neo 3"/>
    <m/>
    <s v="JASA71"/>
    <m/>
    <s v="JASA REPAIR"/>
    <m/>
    <n v="0"/>
    <m/>
    <n v="1"/>
    <m/>
    <n v="250000"/>
    <m/>
    <n v="250000"/>
    <m/>
    <m/>
    <m/>
    <s v="N/A"/>
  </r>
  <r>
    <m/>
    <x v="27"/>
    <m/>
    <s v="MF-FP.25322"/>
    <m/>
    <s v="MF-ST.22822"/>
    <m/>
    <d v="2026-05-20T00:00:00"/>
    <m/>
    <s v="Member Reguler"/>
    <m/>
    <s v="C.02089"/>
    <m/>
    <s v="MAHDIANSYAH"/>
    <m/>
    <s v="WAHYU PRATAMA"/>
    <m/>
    <s v="SERVICE HANDPHONE"/>
    <m/>
    <x v="1"/>
    <m/>
    <s v="YUVI NOFERIANTO"/>
    <m/>
    <x v="4"/>
    <m/>
    <s v="WAHYU PRATAMA"/>
    <m/>
    <s v="LCD"/>
    <m/>
    <s v="BELUM ADA MERK"/>
    <m/>
    <s v="Tecno pova neo 3"/>
    <m/>
    <s v="100403"/>
    <m/>
    <s v="LCD.. INF HOT 12 X6817 / HOT 12 PLAY X6816D / TECNO POVA NEO 3 / TECNO POVA 4  4 B"/>
    <m/>
    <n v="133375"/>
    <m/>
    <n v="1"/>
    <m/>
    <n v="190000"/>
    <m/>
    <n v="190000"/>
    <m/>
    <m/>
    <m/>
    <s v="N/A"/>
  </r>
  <r>
    <m/>
    <x v="27"/>
    <m/>
    <s v="MF-FP.25319"/>
    <m/>
    <s v="MF-ST.22824"/>
    <m/>
    <d v="2026-05-20T00:00:00"/>
    <m/>
    <s v="Member Reguler"/>
    <m/>
    <s v="MJ1159"/>
    <m/>
    <s v="Tri"/>
    <m/>
    <s v="WAHYU PRATAMA"/>
    <m/>
    <s v="SERVICE LAPTOP"/>
    <m/>
    <x v="0"/>
    <m/>
    <s v="ARIFIN SANTOSO JATIMULYA"/>
    <m/>
    <x v="6"/>
    <m/>
    <s v="HANIF"/>
    <m/>
    <s v="REPAIR"/>
    <m/>
    <s v="LENOVO"/>
    <m/>
    <s v="Lenovo c340"/>
    <m/>
    <s v="JASA71"/>
    <m/>
    <s v="JASA REPAIR"/>
    <m/>
    <n v="0"/>
    <m/>
    <n v="1"/>
    <m/>
    <n v="230000"/>
    <m/>
    <n v="230000"/>
    <m/>
    <s v="Didi"/>
    <m/>
    <s v="N/A"/>
  </r>
  <r>
    <m/>
    <x v="27"/>
    <m/>
    <s v="MF-FP.25319"/>
    <m/>
    <s v="MF-ST.22824"/>
    <m/>
    <d v="2026-05-20T00:00:00"/>
    <m/>
    <s v="Member Reguler"/>
    <m/>
    <s v="MJ1159"/>
    <m/>
    <s v="Tri"/>
    <m/>
    <s v="WAHYU PRATAMA"/>
    <m/>
    <s v="SERVICE LAPTOP"/>
    <m/>
    <x v="2"/>
    <m/>
    <s v="ARIFIN SANTOSO JATIMULYA"/>
    <m/>
    <x v="6"/>
    <m/>
    <s v="HANIF"/>
    <m/>
    <s v="REPAIR"/>
    <m/>
    <s v="LENOVO"/>
    <m/>
    <s v="Lenovo c340"/>
    <m/>
    <s v="107200"/>
    <m/>
    <s v="LUNA DATA CABLE TYPE-C CB-2EC"/>
    <m/>
    <n v="9500"/>
    <m/>
    <n v="1"/>
    <m/>
    <n v="20000"/>
    <m/>
    <n v="20000"/>
    <m/>
    <s v="Didi"/>
    <m/>
    <s v="N/A"/>
  </r>
  <r>
    <m/>
    <x v="27"/>
    <m/>
    <s v="MF-FP.25321"/>
    <m/>
    <s v="MF-ST.22829"/>
    <m/>
    <d v="2026-05-21T00:00:00"/>
    <m/>
    <s v="Umum"/>
    <m/>
    <s v="C.11506"/>
    <m/>
    <s v="DONI"/>
    <m/>
    <s v="Achmad Indrawanto"/>
    <m/>
    <s v="SERVICE HANDPHONE"/>
    <m/>
    <x v="2"/>
    <m/>
    <s v="YUVI NOFERIANTO"/>
    <m/>
    <x v="4"/>
    <m/>
    <s v="WAHYU PRATAMA"/>
    <m/>
    <s v="LCD"/>
    <m/>
    <s v="VIVO"/>
    <m/>
    <s v="y22"/>
    <m/>
    <s v="107200"/>
    <m/>
    <s v="LUNA DATA CABLE TYPE-C CB-2EC"/>
    <m/>
    <n v="9500"/>
    <m/>
    <n v="1"/>
    <m/>
    <n v="10000"/>
    <m/>
    <n v="10000"/>
    <m/>
    <m/>
    <m/>
    <s v="N/A"/>
  </r>
  <r>
    <m/>
    <x v="27"/>
    <m/>
    <s v="MF-FP.25320"/>
    <m/>
    <s v="MF-ST.22832"/>
    <m/>
    <d v="2026-05-21T00:00:00"/>
    <m/>
    <s v="Umum"/>
    <m/>
    <s v="C.04826"/>
    <m/>
    <s v="JAMAL"/>
    <m/>
    <s v="Achmad Indrawanto"/>
    <m/>
    <s v="SERVICE HANDPHONE"/>
    <m/>
    <x v="0"/>
    <m/>
    <s v="MUSTOFA"/>
    <m/>
    <x v="1"/>
    <m/>
    <s v="HANIF"/>
    <m/>
    <s v="REPAIR"/>
    <m/>
    <s v="OPPO"/>
    <m/>
    <s v="OPPO A77S"/>
    <m/>
    <s v="JASA71"/>
    <m/>
    <s v="JASA REPAIR"/>
    <m/>
    <n v="0"/>
    <m/>
    <n v="1"/>
    <m/>
    <n v="180000"/>
    <m/>
    <n v="180000"/>
    <m/>
    <m/>
    <m/>
    <s v="N/A"/>
  </r>
  <r>
    <m/>
    <x v="27"/>
    <m/>
    <s v="MF-FP.25320"/>
    <m/>
    <s v="MF-ST.22832"/>
    <m/>
    <d v="2026-05-21T00:00:00"/>
    <m/>
    <s v="Umum"/>
    <m/>
    <s v="C.04826"/>
    <m/>
    <s v="JAMAL"/>
    <m/>
    <s v="Achmad Indrawanto"/>
    <m/>
    <s v="SERVICE HANDPHONE"/>
    <m/>
    <x v="1"/>
    <m/>
    <s v="MUSTOFA"/>
    <m/>
    <x v="1"/>
    <m/>
    <s v="HANIF"/>
    <m/>
    <s v="REPAIR"/>
    <m/>
    <s v="OPPO"/>
    <m/>
    <s v="OPPO A77S"/>
    <m/>
    <s v="107309"/>
    <m/>
    <s v="FLFNG OPP A57 / A17 / A77S"/>
    <m/>
    <n v="30000"/>
    <m/>
    <n v="1"/>
    <m/>
    <n v="50000"/>
    <m/>
    <n v="50000"/>
    <m/>
    <m/>
    <m/>
    <s v="N/A"/>
  </r>
  <r>
    <m/>
    <x v="27"/>
    <m/>
    <s v="MF-FP.25320"/>
    <m/>
    <s v="MF-ST.22832"/>
    <m/>
    <d v="2026-05-21T00:00:00"/>
    <m/>
    <s v="Umum"/>
    <m/>
    <s v="C.04826"/>
    <m/>
    <s v="JAMAL"/>
    <m/>
    <s v="Achmad Indrawanto"/>
    <m/>
    <s v="SERVICE HANDPHONE"/>
    <m/>
    <x v="2"/>
    <m/>
    <s v="MUSTOFA"/>
    <m/>
    <x v="1"/>
    <m/>
    <s v="HANIF"/>
    <m/>
    <s v="REPAIR"/>
    <m/>
    <s v="OPPO"/>
    <m/>
    <s v="OPPO A77S"/>
    <m/>
    <s v="107200"/>
    <m/>
    <s v="LUNA DATA CABLE TYPE-C CB-2EC"/>
    <m/>
    <n v="9500"/>
    <m/>
    <n v="1"/>
    <m/>
    <n v="20000"/>
    <m/>
    <n v="20000"/>
    <m/>
    <m/>
    <m/>
    <s v="N/A"/>
  </r>
  <r>
    <m/>
    <x v="27"/>
    <m/>
    <s v="MF-FP.25326"/>
    <m/>
    <s v="MF-ST.22836"/>
    <m/>
    <d v="2026-05-21T00:00:00"/>
    <m/>
    <s v="Umum"/>
    <m/>
    <s v="C.13383"/>
    <m/>
    <s v="REZA"/>
    <m/>
    <s v="HANIF"/>
    <m/>
    <s v="SERVICE HANDPHONE"/>
    <m/>
    <x v="0"/>
    <m/>
    <s v="EKO RISDIYANTORO JATIMULYA"/>
    <m/>
    <x v="2"/>
    <m/>
    <s v="WAHYU PRATAMA"/>
    <m/>
    <s v="HARDWARE"/>
    <m/>
    <s v="SAMSUNG"/>
    <m/>
    <s v="samsung a52"/>
    <m/>
    <s v="JASA71"/>
    <m/>
    <s v="JASA REPAIR"/>
    <m/>
    <n v="0"/>
    <m/>
    <n v="1"/>
    <m/>
    <n v="175000"/>
    <m/>
    <n v="175000"/>
    <m/>
    <m/>
    <m/>
    <s v="N/A"/>
  </r>
  <r>
    <m/>
    <x v="27"/>
    <m/>
    <s v="MF-FP.25326"/>
    <m/>
    <s v="MF-ST.22836"/>
    <m/>
    <d v="2026-05-21T00:00:00"/>
    <m/>
    <s v="Umum"/>
    <m/>
    <s v="C.13383"/>
    <m/>
    <s v="REZA"/>
    <m/>
    <s v="HANIF"/>
    <m/>
    <s v="SERVICE HANDPHONE"/>
    <m/>
    <x v="2"/>
    <m/>
    <s v="EKO RISDIYANTORO JATIMULYA"/>
    <m/>
    <x v="2"/>
    <m/>
    <s v="WAHYU PRATAMA"/>
    <m/>
    <s v="HARDWARE"/>
    <m/>
    <s v="SAMSUNG"/>
    <m/>
    <s v="samsung a52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27"/>
    <m/>
    <s v="MF-FP.25326"/>
    <m/>
    <s v="MF-ST.22836"/>
    <m/>
    <d v="2026-05-21T00:00:00"/>
    <m/>
    <s v="Umum"/>
    <m/>
    <s v="C.13383"/>
    <m/>
    <s v="REZA"/>
    <m/>
    <s v="HANIF"/>
    <m/>
    <s v="SERVICE HANDPHONE"/>
    <m/>
    <x v="1"/>
    <m/>
    <s v="EKO RISDIYANTORO JATIMULYA"/>
    <m/>
    <x v="2"/>
    <m/>
    <s v="WAHYU PRATAMA"/>
    <m/>
    <s v="HARDWARE"/>
    <m/>
    <s v="SAMSUNG"/>
    <m/>
    <s v="samsung a52"/>
    <m/>
    <s v="101273"/>
    <m/>
    <s v="LCD.. SAM A52 4G/5G / A52S / A525F/A526 B"/>
    <m/>
    <n v="146953.744611"/>
    <m/>
    <n v="1"/>
    <m/>
    <n v="240000"/>
    <m/>
    <n v="240000"/>
    <m/>
    <m/>
    <m/>
    <s v="N/A"/>
  </r>
  <r>
    <m/>
    <x v="27"/>
    <m/>
    <s v="MF-FP.25326"/>
    <m/>
    <s v="MF-ST.22836"/>
    <m/>
    <d v="2026-05-21T00:00:00"/>
    <m/>
    <s v="Umum"/>
    <m/>
    <s v="C.13383"/>
    <m/>
    <s v="REZA"/>
    <m/>
    <s v="HANIF"/>
    <m/>
    <s v="SERVICE HANDPHONE"/>
    <m/>
    <x v="2"/>
    <m/>
    <s v="EKO RISDIYANTORO JATIMULYA"/>
    <m/>
    <x v="2"/>
    <m/>
    <s v="WAHYU PRATAMA"/>
    <m/>
    <s v="HARDWARE"/>
    <m/>
    <s v="SAMSUNG"/>
    <m/>
    <s v="samsung a52"/>
    <m/>
    <s v="107200"/>
    <m/>
    <s v="LUNA DATA CABLE TYPE-C CB-2EC"/>
    <m/>
    <n v="9500"/>
    <m/>
    <n v="1"/>
    <m/>
    <n v="10000"/>
    <m/>
    <n v="10000"/>
    <m/>
    <m/>
    <m/>
    <s v="N/A"/>
  </r>
  <r>
    <m/>
    <x v="27"/>
    <m/>
    <s v="MF-FP.25322"/>
    <m/>
    <s v="MF-ST.22822"/>
    <m/>
    <d v="2026-05-20T00:00:00"/>
    <m/>
    <s v="Member Reguler"/>
    <m/>
    <s v="C.02089"/>
    <m/>
    <s v="MAHDIANSYAH"/>
    <m/>
    <s v="WAHYU PRATAMA"/>
    <m/>
    <s v="SERVICE HANDPHONE"/>
    <m/>
    <x v="2"/>
    <m/>
    <s v="YUVI NOFERIANTO"/>
    <m/>
    <x v="4"/>
    <m/>
    <s v="WAHYU PRATAMA"/>
    <m/>
    <s v="LCD"/>
    <m/>
    <s v="BELUM ADA MERK"/>
    <m/>
    <s v="Tecno pova neo 3"/>
    <m/>
    <s v="107200"/>
    <m/>
    <s v="LUNA DATA CABLE TYPE-C CB-2EC"/>
    <m/>
    <n v="9500"/>
    <m/>
    <n v="1"/>
    <m/>
    <n v="10000"/>
    <m/>
    <n v="10000"/>
    <m/>
    <m/>
    <m/>
    <s v="N/A"/>
  </r>
  <r>
    <m/>
    <x v="27"/>
    <m/>
    <s v="MF-FP.25321"/>
    <m/>
    <s v="MF-ST.22829"/>
    <m/>
    <d v="2026-05-21T00:00:00"/>
    <m/>
    <s v="Umum"/>
    <m/>
    <s v="C.11506"/>
    <m/>
    <s v="DONI"/>
    <m/>
    <s v="Achmad Indrawanto"/>
    <m/>
    <s v="SERVICE HANDPHONE"/>
    <m/>
    <x v="0"/>
    <m/>
    <s v="YUVI NOFERIANTO"/>
    <m/>
    <x v="4"/>
    <m/>
    <s v="WAHYU PRATAMA"/>
    <m/>
    <s v="LCD"/>
    <m/>
    <s v="VIVO"/>
    <m/>
    <s v="y22"/>
    <m/>
    <s v="JASA59"/>
    <m/>
    <s v="JASA LCD 200-400RB"/>
    <m/>
    <n v="0"/>
    <m/>
    <n v="1"/>
    <m/>
    <n v="335000"/>
    <m/>
    <n v="335000"/>
    <m/>
    <m/>
    <m/>
    <s v="N/A"/>
  </r>
  <r>
    <m/>
    <x v="27"/>
    <m/>
    <s v="MF-FP.25321"/>
    <m/>
    <s v="MF-ST.22829"/>
    <m/>
    <d v="2026-05-21T00:00:00"/>
    <m/>
    <s v="Umum"/>
    <m/>
    <s v="C.11506"/>
    <m/>
    <s v="DONI"/>
    <m/>
    <s v="Achmad Indrawanto"/>
    <m/>
    <s v="SERVICE HANDPHONE"/>
    <m/>
    <x v="1"/>
    <m/>
    <s v="YUVI NOFERIANTO"/>
    <m/>
    <x v="4"/>
    <m/>
    <s v="WAHYU PRATAMA"/>
    <m/>
    <s v="LCD"/>
    <m/>
    <s v="VIVO"/>
    <m/>
    <s v="y22"/>
    <m/>
    <s v="102600"/>
    <m/>
    <s v="GLASS LCD VIV Y16/Y21/Y21S/Y02/Y02S/Y22"/>
    <m/>
    <n v="11000"/>
    <m/>
    <n v="1"/>
    <m/>
    <n v="50000"/>
    <m/>
    <n v="50000"/>
    <m/>
    <m/>
    <m/>
    <s v="N/A"/>
  </r>
  <r>
    <m/>
    <x v="27"/>
    <m/>
    <s v="MF-FP.25321"/>
    <m/>
    <s v="MF-ST.22829"/>
    <m/>
    <d v="2026-05-21T00:00:00"/>
    <m/>
    <s v="Umum"/>
    <m/>
    <s v="C.11506"/>
    <m/>
    <s v="DONI"/>
    <m/>
    <s v="Achmad Indrawanto"/>
    <m/>
    <s v="SERVICE HANDPHONE"/>
    <m/>
    <x v="2"/>
    <m/>
    <s v="YUVI NOFERIANTO"/>
    <m/>
    <x v="4"/>
    <m/>
    <s v="WAHYU PRATAMA"/>
    <m/>
    <s v="LCD"/>
    <m/>
    <s v="VIVO"/>
    <m/>
    <s v="y22"/>
    <m/>
    <s v="100025"/>
    <m/>
    <s v="VIVAN HYDROGEL BASIC CRYSTAL CLEAR VSP01T"/>
    <m/>
    <n v="11151.582562"/>
    <m/>
    <n v="1"/>
    <m/>
    <n v="75000"/>
    <m/>
    <n v="75000"/>
    <m/>
    <m/>
    <m/>
    <s v="N/A"/>
  </r>
  <r>
    <m/>
    <x v="27"/>
    <m/>
    <s v="MF-FP.25323"/>
    <m/>
    <s v="MF-ST.22840"/>
    <m/>
    <d v="2026-05-21T00:00:00"/>
    <m/>
    <s v="Umum"/>
    <m/>
    <s v="C.13387"/>
    <m/>
    <s v="JANGGUNG PRABOWO"/>
    <m/>
    <s v="WAHYU PRATAMA"/>
    <m/>
    <s v="SERVICE HANDPHONE"/>
    <m/>
    <x v="0"/>
    <m/>
    <s v="MUSTOFA"/>
    <m/>
    <x v="1"/>
    <m/>
    <s v="WAHYU PRATAMA"/>
    <m/>
    <s v="REPAIR"/>
    <m/>
    <s v="OPPO"/>
    <m/>
    <s v="A77S"/>
    <m/>
    <s v="JASA71"/>
    <m/>
    <s v="JASA REPAIR"/>
    <m/>
    <n v="0"/>
    <m/>
    <n v="1"/>
    <m/>
    <n v="155000"/>
    <m/>
    <n v="155000"/>
    <m/>
    <m/>
    <m/>
    <s v="N/A"/>
  </r>
  <r>
    <m/>
    <x v="27"/>
    <m/>
    <s v="MF-FP.25324"/>
    <m/>
    <s v="MF-ST.22605"/>
    <m/>
    <d v="2026-05-11T00:00:00"/>
    <m/>
    <s v="Member Reguler"/>
    <m/>
    <s v="C.13265"/>
    <m/>
    <s v="BAYU"/>
    <m/>
    <s v="Achmad Indrawanto"/>
    <m/>
    <s v="SERVICE HANDPHONE"/>
    <m/>
    <x v="0"/>
    <m/>
    <s v="EKO RISDIYANTORO JATIMULYA"/>
    <m/>
    <x v="2"/>
    <m/>
    <s v="WAHYU PRATAMA"/>
    <m/>
    <s v="REPAIR"/>
    <m/>
    <s v="APPLE"/>
    <m/>
    <s v="IPHONE 11 PRO MAX"/>
    <m/>
    <s v="JASA71"/>
    <m/>
    <s v="JASA REPAIR"/>
    <m/>
    <n v="0"/>
    <m/>
    <n v="1"/>
    <m/>
    <n v="330000"/>
    <m/>
    <n v="330000"/>
    <m/>
    <s v="Achmad Indrawanto"/>
    <m/>
    <s v="N/A"/>
  </r>
  <r>
    <m/>
    <x v="27"/>
    <m/>
    <s v="MF-FP.25323"/>
    <m/>
    <s v="MF-ST.22840"/>
    <m/>
    <d v="2026-05-21T00:00:00"/>
    <m/>
    <s v="Umum"/>
    <m/>
    <s v="C.13387"/>
    <m/>
    <s v="JANGGUNG PRABOWO"/>
    <m/>
    <s v="WAHYU PRATAMA"/>
    <m/>
    <s v="SERVICE HANDPHONE"/>
    <m/>
    <x v="2"/>
    <m/>
    <s v="MUSTOFA"/>
    <m/>
    <x v="1"/>
    <m/>
    <s v="WAHYU PRATAMA"/>
    <m/>
    <s v="REPAIR"/>
    <m/>
    <s v="OPPO"/>
    <m/>
    <s v="A77S"/>
    <m/>
    <s v="107200"/>
    <m/>
    <s v="LUNA DATA CABLE TYPE-C CB-2EC"/>
    <m/>
    <n v="9500"/>
    <m/>
    <n v="1"/>
    <m/>
    <n v="15000"/>
    <m/>
    <n v="15000"/>
    <m/>
    <m/>
    <m/>
    <s v="N/A"/>
  </r>
  <r>
    <m/>
    <x v="27"/>
    <m/>
    <s v="MF-FP.25324"/>
    <m/>
    <s v="MF-ST.22605"/>
    <m/>
    <d v="2026-05-11T00:00:00"/>
    <m/>
    <s v="Member Reguler"/>
    <m/>
    <s v="C.13265"/>
    <m/>
    <s v="BAYU"/>
    <m/>
    <s v="Achmad Indrawanto"/>
    <m/>
    <s v="SERVICE HANDPHONE"/>
    <m/>
    <x v="1"/>
    <m/>
    <s v="EKO RISDIYANTORO JATIMULYA"/>
    <m/>
    <x v="2"/>
    <m/>
    <s v="WAHYU PRATAMA"/>
    <m/>
    <s v="REPAIR"/>
    <m/>
    <s v="APPLE"/>
    <m/>
    <s v="IPHONE 11 PRO MAX"/>
    <m/>
    <s v="JASAOG"/>
    <m/>
    <s v="JASA OPER GADGET"/>
    <m/>
    <n v="0"/>
    <m/>
    <n v="1"/>
    <m/>
    <n v="850000"/>
    <m/>
    <n v="850000"/>
    <m/>
    <s v="Achmad Indrawanto"/>
    <m/>
    <s v="N/A"/>
  </r>
  <r>
    <m/>
    <x v="27"/>
    <m/>
    <s v="MF-FP.25324"/>
    <m/>
    <s v="MF-ST.22605"/>
    <m/>
    <d v="2026-05-11T00:00:00"/>
    <m/>
    <s v="Member Reguler"/>
    <m/>
    <s v="C.13265"/>
    <m/>
    <s v="BAYU"/>
    <m/>
    <s v="Achmad Indrawanto"/>
    <m/>
    <s v="SERVICE HANDPHONE"/>
    <m/>
    <x v="2"/>
    <m/>
    <s v="EKO RISDIYANTORO JATIMULYA"/>
    <m/>
    <x v="2"/>
    <m/>
    <s v="WAHYU PRATAMA"/>
    <m/>
    <s v="REPAIR"/>
    <m/>
    <s v="APPLE"/>
    <m/>
    <s v="IPHONE 11 PRO MAX"/>
    <m/>
    <s v="107200"/>
    <m/>
    <s v="LUNA DATA CABLE TYPE-C CB-2EC"/>
    <m/>
    <n v="9500"/>
    <m/>
    <n v="1"/>
    <m/>
    <n v="20000"/>
    <m/>
    <n v="20000"/>
    <m/>
    <s v="Achmad Indrawanto"/>
    <m/>
    <s v="N/A"/>
  </r>
  <r>
    <m/>
    <x v="27"/>
    <m/>
    <s v="MF-FP.25325"/>
    <m/>
    <s v="MF-ST.22841"/>
    <m/>
    <d v="2026-05-21T00:00:00"/>
    <m/>
    <s v="Member Reguler"/>
    <m/>
    <s v="MCJ0093"/>
    <m/>
    <s v="REGITA"/>
    <m/>
    <s v="WAHYU PRATAMA"/>
    <m/>
    <s v="SERVICE HANDPHONE"/>
    <m/>
    <x v="0"/>
    <m/>
    <s v="YUVI NOFERIANTO"/>
    <m/>
    <x v="4"/>
    <m/>
    <s v="WAHYU PRATAMA"/>
    <m/>
    <s v="LCD"/>
    <m/>
    <s v="REALME"/>
    <m/>
    <s v="12 5G"/>
    <m/>
    <s v="JASA71"/>
    <m/>
    <s v="JASA REPAIR"/>
    <m/>
    <n v="0"/>
    <m/>
    <n v="1"/>
    <m/>
    <n v="180000"/>
    <m/>
    <n v="180000"/>
    <m/>
    <s v="Achmad Indrawanto"/>
    <m/>
    <s v="N/A"/>
  </r>
  <r>
    <m/>
    <x v="27"/>
    <m/>
    <s v="MF-FP.25325"/>
    <m/>
    <s v="MF-ST.22841"/>
    <m/>
    <d v="2026-05-21T00:00:00"/>
    <m/>
    <s v="Member Reguler"/>
    <m/>
    <s v="MCJ0093"/>
    <m/>
    <s v="REGITA"/>
    <m/>
    <s v="WAHYU PRATAMA"/>
    <m/>
    <s v="SERVICE HANDPHONE"/>
    <m/>
    <x v="1"/>
    <m/>
    <s v="YUVI NOFERIANTO"/>
    <m/>
    <x v="4"/>
    <m/>
    <s v="WAHYU PRATAMA"/>
    <m/>
    <s v="LCD"/>
    <m/>
    <s v="REALME"/>
    <m/>
    <s v="12 5G"/>
    <m/>
    <s v="106647"/>
    <m/>
    <s v="LCD.. RLM C67 4G / RLM 12X 5G / RLM 13 5G / NARZO 70X / C75 4G / RLM 12 5G"/>
    <m/>
    <n v="147500"/>
    <m/>
    <n v="1"/>
    <m/>
    <n v="147500"/>
    <m/>
    <n v="147500"/>
    <m/>
    <s v="Achmad Indrawanto"/>
    <m/>
    <s v="N/A"/>
  </r>
  <r>
    <m/>
    <x v="27"/>
    <m/>
    <s v="MF-FP.25330"/>
    <m/>
    <s v="MF-ST.22844"/>
    <m/>
    <d v="2026-05-21T00:00:00"/>
    <m/>
    <s v="Umum"/>
    <m/>
    <s v="C.13389"/>
    <m/>
    <s v="IBRAHIM"/>
    <m/>
    <s v="HANIF"/>
    <m/>
    <s v="SERVICE HANDPHONE"/>
    <m/>
    <x v="1"/>
    <m/>
    <s v="EKO RISDIYANTORO JATIMULYA"/>
    <m/>
    <x v="2"/>
    <m/>
    <s v="HANIF"/>
    <m/>
    <s v="LCD"/>
    <m/>
    <s v="REALME"/>
    <m/>
    <s v="C55"/>
    <m/>
    <s v="102918"/>
    <m/>
    <s v="LCD.. RLM C55 / RLM 11 5G / OPP A58 4G / OPP A79 5G / OPP A98 B"/>
    <m/>
    <n v="133370.50822600001"/>
    <m/>
    <n v="1"/>
    <m/>
    <n v="180000"/>
    <m/>
    <n v="180000"/>
    <m/>
    <m/>
    <m/>
    <s v="N/A"/>
  </r>
  <r>
    <m/>
    <x v="27"/>
    <m/>
    <s v="MF-FP.25330"/>
    <m/>
    <s v="MF-ST.22844"/>
    <m/>
    <d v="2026-05-21T00:00:00"/>
    <m/>
    <s v="Umum"/>
    <m/>
    <s v="C.13389"/>
    <m/>
    <s v="IBRAHIM"/>
    <m/>
    <s v="HANIF"/>
    <m/>
    <s v="SERVICE HANDPHONE"/>
    <m/>
    <x v="2"/>
    <m/>
    <s v="EKO RISDIYANTORO JATIMULYA"/>
    <m/>
    <x v="2"/>
    <m/>
    <s v="HANIF"/>
    <m/>
    <s v="LCD"/>
    <m/>
    <s v="REALME"/>
    <m/>
    <s v="C55"/>
    <m/>
    <s v="107200"/>
    <m/>
    <s v="LUNA DATA CABLE TYPE-C CB-2EC"/>
    <m/>
    <n v="9500"/>
    <m/>
    <n v="1"/>
    <m/>
    <n v="20000"/>
    <m/>
    <n v="20000"/>
    <m/>
    <m/>
    <m/>
    <s v="N/A"/>
  </r>
  <r>
    <m/>
    <x v="27"/>
    <m/>
    <s v="MF-FP.25327"/>
    <m/>
    <s v="MF-ST.22842"/>
    <m/>
    <d v="2026-05-21T00:00:00"/>
    <m/>
    <s v="Umum"/>
    <m/>
    <s v="C.13388"/>
    <m/>
    <s v="NABILA"/>
    <m/>
    <s v="WAHYU PRATAMA"/>
    <m/>
    <s v="SERVICE HANDPHONE"/>
    <m/>
    <x v="0"/>
    <m/>
    <s v="EKO RISDIYANTORO JATIMULYA"/>
    <m/>
    <x v="2"/>
    <m/>
    <s v="WAHYU PRATAMA"/>
    <m/>
    <s v="FLEXIBEL CHARGER (PAPAN KONEKTOR)"/>
    <m/>
    <s v="SAMSUNG"/>
    <m/>
    <s v="A10S"/>
    <m/>
    <s v="JASA71"/>
    <m/>
    <s v="JASA REPAIR"/>
    <m/>
    <n v="0"/>
    <m/>
    <n v="1"/>
    <m/>
    <n v="110000"/>
    <m/>
    <n v="110000"/>
    <m/>
    <m/>
    <m/>
    <s v="N/A"/>
  </r>
  <r>
    <m/>
    <x v="27"/>
    <m/>
    <s v="MF-FP.25327"/>
    <m/>
    <s v="MF-ST.22842"/>
    <m/>
    <d v="2026-05-21T00:00:00"/>
    <m/>
    <s v="Umum"/>
    <m/>
    <s v="C.13388"/>
    <m/>
    <s v="NABILA"/>
    <m/>
    <s v="WAHYU PRATAMA"/>
    <m/>
    <s v="SERVICE HANDPHONE"/>
    <m/>
    <x v="1"/>
    <m/>
    <s v="EKO RISDIYANTORO JATIMULYA"/>
    <m/>
    <x v="2"/>
    <m/>
    <s v="WAHYU PRATAMA"/>
    <m/>
    <s v="FLEXIBEL CHARGER (PAPAN KONEKTOR)"/>
    <m/>
    <s v="SAMSUNG"/>
    <m/>
    <s v="A10S"/>
    <m/>
    <s v="102372"/>
    <m/>
    <s v="FLCRG SAM A10s ORI"/>
    <m/>
    <n v="47500"/>
    <m/>
    <n v="1"/>
    <m/>
    <n v="70000"/>
    <m/>
    <n v="70000"/>
    <m/>
    <m/>
    <m/>
    <s v="N/A"/>
  </r>
  <r>
    <m/>
    <x v="27"/>
    <m/>
    <s v="MF-FP.25328"/>
    <m/>
    <s v="MF-ST.22837"/>
    <m/>
    <d v="2026-05-21T00:00:00"/>
    <m/>
    <s v="Umum"/>
    <m/>
    <s v="C.13384"/>
    <m/>
    <s v="AHMAD"/>
    <m/>
    <s v="HANIF"/>
    <m/>
    <s v="SERVICE HANDPHONE"/>
    <m/>
    <x v="0"/>
    <m/>
    <s v="MUSTOFA"/>
    <m/>
    <x v="1"/>
    <m/>
    <s v="WAHYU PRATAMA"/>
    <m/>
    <s v="REPAIR"/>
    <m/>
    <s v="LG"/>
    <m/>
    <s v="Lg G7"/>
    <m/>
    <s v="JASA71"/>
    <m/>
    <s v="JASA REPAIR"/>
    <m/>
    <n v="0"/>
    <m/>
    <n v="1"/>
    <m/>
    <n v="140000"/>
    <m/>
    <n v="140000"/>
    <m/>
    <m/>
    <m/>
    <s v="N/A"/>
  </r>
  <r>
    <m/>
    <x v="27"/>
    <m/>
    <s v="MF-FP.25328"/>
    <m/>
    <s v="MF-ST.22837"/>
    <m/>
    <d v="2026-05-21T00:00:00"/>
    <m/>
    <s v="Umum"/>
    <m/>
    <s v="C.13384"/>
    <m/>
    <s v="AHMAD"/>
    <m/>
    <s v="HANIF"/>
    <m/>
    <s v="SERVICE HANDPHONE"/>
    <m/>
    <x v="2"/>
    <m/>
    <s v="MUSTOFA"/>
    <m/>
    <x v="1"/>
    <m/>
    <s v="WAHYU PRATAMA"/>
    <m/>
    <s v="REPAIR"/>
    <m/>
    <s v="LG"/>
    <m/>
    <s v="Lg G7"/>
    <m/>
    <s v="107200"/>
    <m/>
    <s v="LUNA DATA CABLE TYPE-C CB-2EC"/>
    <m/>
    <n v="9500"/>
    <m/>
    <n v="1"/>
    <m/>
    <n v="10000"/>
    <m/>
    <n v="10000"/>
    <m/>
    <m/>
    <m/>
    <s v="N/A"/>
  </r>
  <r>
    <m/>
    <x v="27"/>
    <m/>
    <s v="MF-FP.25329"/>
    <m/>
    <s v="MF-ST.22843"/>
    <m/>
    <d v="2026-05-21T00:00:00"/>
    <m/>
    <s v="Member Reguler"/>
    <m/>
    <s v="MR104425"/>
    <m/>
    <s v="REY"/>
    <m/>
    <s v="WAHYU PRATAMA"/>
    <m/>
    <s v="SERVICE HANDPHONE"/>
    <m/>
    <x v="0"/>
    <m/>
    <s v="MUSTOFA"/>
    <m/>
    <x v="1"/>
    <m/>
    <s v="WAHYU PRATAMA"/>
    <m/>
    <s v="REPAIR"/>
    <m/>
    <s v="XIAOMI"/>
    <m/>
    <s v="MI 11 T PRO"/>
    <m/>
    <s v="JASA71"/>
    <m/>
    <s v="JASA REPAIR"/>
    <m/>
    <n v="0"/>
    <m/>
    <n v="1"/>
    <m/>
    <n v="60000"/>
    <m/>
    <n v="60000"/>
    <m/>
    <s v="Achmad Indrawanto"/>
    <m/>
    <s v="N/A"/>
  </r>
  <r>
    <m/>
    <x v="27"/>
    <m/>
    <s v="MF-FP.25329"/>
    <m/>
    <s v="MF-ST.22843"/>
    <m/>
    <d v="2026-05-21T00:00:00"/>
    <m/>
    <s v="Member Reguler"/>
    <m/>
    <s v="MR104425"/>
    <m/>
    <s v="REY"/>
    <m/>
    <s v="WAHYU PRATAMA"/>
    <m/>
    <s v="SERVICE HANDPHONE"/>
    <m/>
    <x v="2"/>
    <m/>
    <s v="MUSTOFA"/>
    <m/>
    <x v="1"/>
    <m/>
    <s v="WAHYU PRATAMA"/>
    <m/>
    <s v="REPAIR"/>
    <m/>
    <s v="XIAOMI"/>
    <m/>
    <s v="MI 11 T PRO"/>
    <m/>
    <s v="107200"/>
    <m/>
    <s v="LUNA DATA CABLE TYPE-C CB-2EC"/>
    <m/>
    <n v="9500"/>
    <m/>
    <n v="1"/>
    <m/>
    <n v="10000"/>
    <m/>
    <n v="10000"/>
    <m/>
    <s v="Achmad Indrawanto"/>
    <m/>
    <s v="N/A"/>
  </r>
  <r>
    <m/>
    <x v="27"/>
    <m/>
    <s v="MF-FP.25330"/>
    <m/>
    <s v="MF-ST.22844"/>
    <m/>
    <d v="2026-05-21T00:00:00"/>
    <m/>
    <s v="Umum"/>
    <m/>
    <s v="C.13389"/>
    <m/>
    <s v="IBRAHIM"/>
    <m/>
    <s v="HANIF"/>
    <m/>
    <s v="SERVICE HANDPHONE"/>
    <m/>
    <x v="0"/>
    <m/>
    <s v="EKO RISDIYANTORO JATIMULYA"/>
    <m/>
    <x v="2"/>
    <m/>
    <s v="HANIF"/>
    <m/>
    <s v="LCD"/>
    <m/>
    <s v="REALME"/>
    <m/>
    <s v="C55"/>
    <m/>
    <s v="JASA71"/>
    <m/>
    <s v="JASA REPAIR"/>
    <m/>
    <n v="0"/>
    <m/>
    <n v="1"/>
    <m/>
    <n v="200000"/>
    <m/>
    <n v="200000"/>
    <m/>
    <m/>
    <m/>
    <s v="N/A"/>
  </r>
  <r>
    <m/>
    <x v="28"/>
    <m/>
    <s v="MF-FP.25340"/>
    <m/>
    <s v="MF-ST.22855"/>
    <m/>
    <d v="2026-05-22T00:00:00"/>
    <m/>
    <s v="Umum"/>
    <m/>
    <s v="C.13394"/>
    <m/>
    <s v="RAYA"/>
    <m/>
    <s v="HANIF"/>
    <m/>
    <s v="SERVICE HANDPHONE"/>
    <m/>
    <x v="0"/>
    <m/>
    <s v="ARI MARWAN"/>
    <m/>
    <x v="0"/>
    <m/>
    <s v="HANIF"/>
    <m/>
    <s v="BATERAI"/>
    <m/>
    <s v="SAMSUNG"/>
    <m/>
    <s v="A50"/>
    <m/>
    <s v="JASA71"/>
    <m/>
    <s v="JASA REPAIR"/>
    <m/>
    <n v="0"/>
    <m/>
    <n v="1"/>
    <m/>
    <n v="200000"/>
    <m/>
    <n v="200000"/>
    <m/>
    <m/>
    <m/>
    <s v="N/A"/>
  </r>
  <r>
    <m/>
    <x v="28"/>
    <m/>
    <s v="MF-FP.25333"/>
    <m/>
    <s v="MF-ST.21578"/>
    <m/>
    <d v="2026-04-04T00:00:00"/>
    <m/>
    <s v="Umum"/>
    <m/>
    <s v="C.10605"/>
    <m/>
    <s v="MEI WULANDARI"/>
    <m/>
    <s v="ARI MARWAN"/>
    <m/>
    <s v="SERVICE LAPTOP"/>
    <m/>
    <x v="0"/>
    <m/>
    <s v="ABDUL MUNAJAT"/>
    <m/>
    <x v="3"/>
    <m/>
    <s v="WAHYU PRATAMA"/>
    <m/>
    <s v="REPAIR"/>
    <m/>
    <s v="LENOVO"/>
    <m/>
    <s v="IDEAPAD FLEX 5"/>
    <m/>
    <s v="JASA71"/>
    <m/>
    <s v="JASA REPAIR"/>
    <m/>
    <n v="0"/>
    <m/>
    <n v="1"/>
    <m/>
    <n v="2190000"/>
    <m/>
    <n v="2190000"/>
    <m/>
    <m/>
    <m/>
    <s v="N/A"/>
  </r>
  <r>
    <m/>
    <x v="28"/>
    <m/>
    <s v="MF-FP.25333"/>
    <m/>
    <s v="MF-ST.21578"/>
    <m/>
    <d v="2026-04-04T00:00:00"/>
    <m/>
    <s v="Umum"/>
    <m/>
    <s v="C.10605"/>
    <m/>
    <s v="MEI WULANDARI"/>
    <m/>
    <s v="ARI MARWAN"/>
    <m/>
    <s v="SERVICE LAPTOP"/>
    <m/>
    <x v="2"/>
    <m/>
    <s v="ABDUL MUNAJAT"/>
    <m/>
    <x v="3"/>
    <m/>
    <s v="WAHYU PRATAMA"/>
    <m/>
    <s v="REPAIR"/>
    <m/>
    <s v="LENOVO"/>
    <m/>
    <s v="IDEAPAD FLEX 5"/>
    <m/>
    <s v="107200"/>
    <m/>
    <s v="LUNA DATA CABLE TYPE-C CB-2EC"/>
    <m/>
    <n v="9500"/>
    <m/>
    <n v="1"/>
    <m/>
    <n v="10000"/>
    <m/>
    <n v="10000"/>
    <m/>
    <m/>
    <m/>
    <s v="N/A"/>
  </r>
  <r>
    <m/>
    <x v="28"/>
    <m/>
    <s v="MF-FP.25340"/>
    <m/>
    <s v="MF-ST.22855"/>
    <m/>
    <d v="2026-05-22T00:00:00"/>
    <m/>
    <s v="Umum"/>
    <m/>
    <s v="C.13394"/>
    <m/>
    <s v="RAYA"/>
    <m/>
    <s v="HANIF"/>
    <m/>
    <s v="SERVICE HANDPHONE"/>
    <m/>
    <x v="1"/>
    <m/>
    <s v="ARI MARWAN"/>
    <m/>
    <x v="0"/>
    <m/>
    <s v="HANIF"/>
    <m/>
    <s v="BATERAI"/>
    <m/>
    <s v="SAMSUNG"/>
    <m/>
    <s v="A50"/>
    <m/>
    <s v="103590"/>
    <m/>
    <s v="BATER SAM A20/A30/A50/A30S/A50S EB-BA505ABU"/>
    <m/>
    <n v="89656.791849999994"/>
    <m/>
    <n v="1"/>
    <m/>
    <n v="130000"/>
    <m/>
    <n v="130000"/>
    <m/>
    <m/>
    <m/>
    <s v="N/A"/>
  </r>
  <r>
    <m/>
    <x v="28"/>
    <m/>
    <s v="MF-FP.25340"/>
    <m/>
    <s v="MF-ST.22855"/>
    <m/>
    <d v="2026-05-22T00:00:00"/>
    <m/>
    <s v="Umum"/>
    <m/>
    <s v="C.13394"/>
    <m/>
    <s v="RAYA"/>
    <m/>
    <s v="HANIF"/>
    <m/>
    <s v="SERVICE HANDPHONE"/>
    <m/>
    <x v="2"/>
    <m/>
    <s v="ARI MARWAN"/>
    <m/>
    <x v="0"/>
    <m/>
    <s v="HANIF"/>
    <m/>
    <s v="BATERAI"/>
    <m/>
    <s v="SAMSUNG"/>
    <m/>
    <s v="A50"/>
    <m/>
    <s v="107200"/>
    <m/>
    <s v="LUNA DATA CABLE TYPE-C CB-2EC"/>
    <m/>
    <n v="9500"/>
    <m/>
    <n v="1"/>
    <m/>
    <n v="20000"/>
    <m/>
    <n v="20000"/>
    <m/>
    <m/>
    <m/>
    <s v="N/A"/>
  </r>
  <r>
    <m/>
    <x v="28"/>
    <m/>
    <s v="MF-FP.25336"/>
    <m/>
    <s v="MF-ST.22850"/>
    <m/>
    <d v="2026-05-22T00:00:00"/>
    <m/>
    <s v="Umum"/>
    <m/>
    <s v="C.13125"/>
    <m/>
    <s v="RIZAL"/>
    <m/>
    <s v="WAHYU PRATAMA"/>
    <m/>
    <s v="SERVICE HANDPHONE"/>
    <m/>
    <x v="0"/>
    <m/>
    <s v="YUVI NOFERIANTO"/>
    <m/>
    <x v="4"/>
    <m/>
    <s v="WAHYU PRATAMA"/>
    <m/>
    <s v="LCD"/>
    <m/>
    <s v="INFINIX"/>
    <m/>
    <s v="NOTE 40"/>
    <m/>
    <s v="JASA71"/>
    <m/>
    <s v="JASA REPAIR"/>
    <m/>
    <n v="0"/>
    <m/>
    <n v="1"/>
    <m/>
    <n v="310000"/>
    <m/>
    <n v="310000"/>
    <m/>
    <m/>
    <m/>
    <s v="N/A"/>
  </r>
  <r>
    <m/>
    <x v="28"/>
    <m/>
    <s v="MF-FP.25336"/>
    <m/>
    <s v="MF-ST.22850"/>
    <m/>
    <d v="2026-05-22T00:00:00"/>
    <m/>
    <s v="Umum"/>
    <m/>
    <s v="C.13125"/>
    <m/>
    <s v="RIZAL"/>
    <m/>
    <s v="WAHYU PRATAMA"/>
    <m/>
    <s v="SERVICE HANDPHONE"/>
    <m/>
    <x v="1"/>
    <m/>
    <s v="YUVI NOFERIANTO"/>
    <m/>
    <x v="4"/>
    <m/>
    <s v="WAHYU PRATAMA"/>
    <m/>
    <s v="LCD"/>
    <m/>
    <s v="INFINIX"/>
    <m/>
    <s v="NOTE 40"/>
    <m/>
    <s v="106772"/>
    <m/>
    <s v="LCD.. INF NOTE 40 4G/INF NOTE 50 4G B"/>
    <m/>
    <n v="167775.700935"/>
    <m/>
    <n v="1"/>
    <m/>
    <n v="130000"/>
    <m/>
    <n v="130000"/>
    <m/>
    <m/>
    <m/>
    <s v="N/A"/>
  </r>
  <r>
    <m/>
    <x v="28"/>
    <m/>
    <s v="MF-FP.25336"/>
    <m/>
    <s v="MF-ST.22850"/>
    <m/>
    <d v="2026-05-22T00:00:00"/>
    <m/>
    <s v="Umum"/>
    <m/>
    <s v="C.13125"/>
    <m/>
    <s v="RIZAL"/>
    <m/>
    <s v="WAHYU PRATAMA"/>
    <m/>
    <s v="SERVICE HANDPHONE"/>
    <m/>
    <x v="2"/>
    <m/>
    <s v="YUVI NOFERIANTO"/>
    <m/>
    <x v="4"/>
    <m/>
    <s v="WAHYU PRATAMA"/>
    <m/>
    <s v="LCD"/>
    <m/>
    <s v="INFINIX"/>
    <m/>
    <s v="NOTE 40"/>
    <m/>
    <s v="107200"/>
    <m/>
    <s v="LUNA DATA CABLE TYPE-C CB-2EC"/>
    <m/>
    <n v="9500"/>
    <m/>
    <n v="1"/>
    <m/>
    <n v="10000"/>
    <m/>
    <n v="10000"/>
    <m/>
    <m/>
    <m/>
    <s v="N/A"/>
  </r>
  <r>
    <m/>
    <x v="28"/>
    <m/>
    <s v="MF-FP.25341"/>
    <m/>
    <s v="MF-ST.22839"/>
    <m/>
    <d v="2026-05-21T00:00:00"/>
    <m/>
    <s v="Umum"/>
    <m/>
    <s v="C.13386"/>
    <m/>
    <s v="NOVI"/>
    <m/>
    <s v="WAHYU PRATAMA"/>
    <m/>
    <s v="SERVICE HANDPHONE"/>
    <m/>
    <x v="0"/>
    <m/>
    <s v="EKO RISDIYANTORO JATIMULYA"/>
    <m/>
    <x v="2"/>
    <m/>
    <s v="HANIF"/>
    <m/>
    <s v="FLEXIBEL CHARGER (PAPAN KONEKTOR)"/>
    <m/>
    <s v="SAMSUNG"/>
    <m/>
    <s v="A31"/>
    <m/>
    <s v="JASA71"/>
    <m/>
    <s v="JASA REPAIR"/>
    <m/>
    <n v="0"/>
    <m/>
    <n v="1"/>
    <m/>
    <n v="330000"/>
    <m/>
    <n v="330000"/>
    <m/>
    <m/>
    <m/>
    <s v="N/A"/>
  </r>
  <r>
    <m/>
    <x v="28"/>
    <m/>
    <s v="MF-FP.25341"/>
    <m/>
    <s v="MF-ST.22839"/>
    <m/>
    <d v="2026-05-21T00:00:00"/>
    <m/>
    <s v="Umum"/>
    <m/>
    <s v="C.13386"/>
    <m/>
    <s v="NOVI"/>
    <m/>
    <s v="WAHYU PRATAMA"/>
    <m/>
    <s v="SERVICE HANDPHONE"/>
    <m/>
    <x v="2"/>
    <m/>
    <s v="EKO RISDIYANTORO JATIMULYA"/>
    <m/>
    <x v="2"/>
    <m/>
    <s v="HANIF"/>
    <m/>
    <s v="FLEXIBEL CHARGER (PAPAN KONEKTOR)"/>
    <m/>
    <s v="SAMSUNG"/>
    <m/>
    <s v="A31"/>
    <m/>
    <s v="107200"/>
    <m/>
    <s v="LUNA DATA CABLE TYPE-C CB-2EC"/>
    <m/>
    <n v="9500"/>
    <m/>
    <n v="1"/>
    <m/>
    <n v="20000"/>
    <m/>
    <n v="20000"/>
    <m/>
    <m/>
    <m/>
    <s v="N/A"/>
  </r>
  <r>
    <m/>
    <x v="28"/>
    <m/>
    <s v="MF-FP.25342"/>
    <m/>
    <s v="MF-ST.22859"/>
    <m/>
    <d v="2026-05-22T00:00:00"/>
    <m/>
    <s v="Umum"/>
    <m/>
    <s v="C.12056"/>
    <m/>
    <s v="RADIT"/>
    <m/>
    <s v="HANIF"/>
    <m/>
    <s v="SERVICE HANDPHONE"/>
    <m/>
    <x v="1"/>
    <m/>
    <s v="ARI MARWAN"/>
    <m/>
    <x v="0"/>
    <m/>
    <s v="HANIF"/>
    <m/>
    <s v="LCD"/>
    <m/>
    <s v="INFINIX"/>
    <m/>
    <s v="Infinix note 11 pro"/>
    <m/>
    <s v="101928"/>
    <m/>
    <s v="LCD.. INF NOTE 10 X693/NOTE 11 PRO X697/NOTE 11S/TECNO POVA 2 B"/>
    <m/>
    <n v="180890.625"/>
    <m/>
    <n v="1"/>
    <m/>
    <n v="270000"/>
    <m/>
    <n v="270000"/>
    <m/>
    <m/>
    <m/>
    <s v="N/A"/>
  </r>
  <r>
    <m/>
    <x v="28"/>
    <m/>
    <s v="MF-FP.25342"/>
    <m/>
    <s v="MF-ST.22859"/>
    <m/>
    <d v="2026-05-22T00:00:00"/>
    <m/>
    <s v="Umum"/>
    <m/>
    <s v="C.12056"/>
    <m/>
    <s v="RADIT"/>
    <m/>
    <s v="HANIF"/>
    <m/>
    <s v="SERVICE HANDPHONE"/>
    <m/>
    <x v="0"/>
    <m/>
    <s v="ARI MARWAN"/>
    <m/>
    <x v="0"/>
    <m/>
    <s v="HANIF"/>
    <m/>
    <s v="LCD"/>
    <m/>
    <s v="INFINIX"/>
    <m/>
    <s v="Infinix note 11 pro"/>
    <m/>
    <s v="JASA71"/>
    <m/>
    <s v="JASA REPAIR"/>
    <m/>
    <n v="0"/>
    <m/>
    <n v="1"/>
    <m/>
    <n v="160000"/>
    <m/>
    <n v="160000"/>
    <m/>
    <m/>
    <m/>
    <s v="N/A"/>
  </r>
  <r>
    <m/>
    <x v="28"/>
    <m/>
    <s v="MF-FP.25342"/>
    <m/>
    <s v="MF-ST.22859"/>
    <m/>
    <d v="2026-05-22T00:00:00"/>
    <m/>
    <s v="Umum"/>
    <m/>
    <s v="C.12056"/>
    <m/>
    <s v="RADIT"/>
    <m/>
    <s v="HANIF"/>
    <m/>
    <s v="SERVICE HANDPHONE"/>
    <m/>
    <x v="2"/>
    <m/>
    <s v="ARI MARWAN"/>
    <m/>
    <x v="0"/>
    <m/>
    <s v="HANIF"/>
    <m/>
    <s v="LCD"/>
    <m/>
    <s v="INFINIX"/>
    <m/>
    <s v="Infinix note 11 pro"/>
    <m/>
    <s v="107200"/>
    <m/>
    <s v="LUNA DATA CABLE TYPE-C CB-2EC"/>
    <m/>
    <n v="9500"/>
    <m/>
    <n v="1"/>
    <m/>
    <n v="20000"/>
    <m/>
    <n v="20000"/>
    <m/>
    <m/>
    <m/>
    <s v="N/A"/>
  </r>
  <r>
    <m/>
    <x v="28"/>
    <m/>
    <s v="MF-FP.25334"/>
    <m/>
    <s v="MF-ST.21988"/>
    <m/>
    <d v="2026-04-18T00:00:00"/>
    <m/>
    <s v="Umum"/>
    <m/>
    <s v="C.06901"/>
    <m/>
    <s v="Bayu"/>
    <m/>
    <s v="WAHYU PRATAMA"/>
    <m/>
    <s v="SERVICE HANDPHONE"/>
    <m/>
    <x v="0"/>
    <m/>
    <s v="MUSTOFA"/>
    <m/>
    <x v="1"/>
    <m/>
    <s v="WAHYU PRATAMA"/>
    <m/>
    <s v="LCD"/>
    <m/>
    <s v="SAMSUNG"/>
    <m/>
    <s v="A7 2018"/>
    <m/>
    <s v="JASA71"/>
    <m/>
    <s v="JASA REPAIR"/>
    <m/>
    <n v="0"/>
    <m/>
    <n v="1"/>
    <m/>
    <n v="360000"/>
    <m/>
    <n v="360000"/>
    <m/>
    <m/>
    <m/>
    <s v="N/A"/>
  </r>
  <r>
    <m/>
    <x v="28"/>
    <m/>
    <s v="MF-FP.25334"/>
    <m/>
    <s v="MF-ST.21988"/>
    <m/>
    <d v="2026-04-18T00:00:00"/>
    <m/>
    <s v="Umum"/>
    <m/>
    <s v="C.06901"/>
    <m/>
    <s v="Bayu"/>
    <m/>
    <s v="WAHYU PRATAMA"/>
    <m/>
    <s v="SERVICE HANDPHONE"/>
    <m/>
    <x v="1"/>
    <m/>
    <s v="MUSTOFA"/>
    <m/>
    <x v="1"/>
    <m/>
    <s v="WAHYU PRATAMA"/>
    <m/>
    <s v="LCD"/>
    <m/>
    <s v="SAMSUNG"/>
    <m/>
    <s v="A7 2018"/>
    <m/>
    <s v="100286"/>
    <m/>
    <s v="LCD.. SAM A7 2018 A750 B"/>
    <m/>
    <n v="152500"/>
    <m/>
    <n v="1"/>
    <m/>
    <n v="230000"/>
    <m/>
    <n v="230000"/>
    <m/>
    <m/>
    <m/>
    <s v="N/A"/>
  </r>
  <r>
    <m/>
    <x v="28"/>
    <m/>
    <s v="MF-FP.25334"/>
    <m/>
    <s v="MF-ST.21988"/>
    <m/>
    <d v="2026-04-18T00:00:00"/>
    <m/>
    <s v="Umum"/>
    <m/>
    <s v="C.06901"/>
    <m/>
    <s v="Bayu"/>
    <m/>
    <s v="WAHYU PRATAMA"/>
    <m/>
    <s v="SERVICE HANDPHONE"/>
    <m/>
    <x v="2"/>
    <m/>
    <s v="MUSTOFA"/>
    <m/>
    <x v="1"/>
    <m/>
    <s v="WAHYU PRATAMA"/>
    <m/>
    <s v="LCD"/>
    <m/>
    <s v="SAMSUNG"/>
    <m/>
    <s v="A7 2018"/>
    <m/>
    <s v="107200"/>
    <m/>
    <s v="LUNA DATA CABLE TYPE-C CB-2EC"/>
    <m/>
    <n v="9500"/>
    <m/>
    <n v="1"/>
    <m/>
    <n v="10000"/>
    <m/>
    <n v="10000"/>
    <m/>
    <m/>
    <m/>
    <s v="N/A"/>
  </r>
  <r>
    <m/>
    <x v="28"/>
    <m/>
    <s v="MF-FP.25335"/>
    <m/>
    <s v="MF-ST.22849"/>
    <m/>
    <d v="2026-05-22T00:00:00"/>
    <m/>
    <s v="Member Reguler"/>
    <m/>
    <s v="C.07149"/>
    <m/>
    <s v="AHMAD"/>
    <m/>
    <s v="WAHYU PRATAMA"/>
    <m/>
    <s v="SERVICE HANDPHONE"/>
    <m/>
    <x v="0"/>
    <m/>
    <s v="YUVI NOFERIANTO"/>
    <m/>
    <x v="4"/>
    <m/>
    <s v="WAHYU PRATAMA"/>
    <m/>
    <s v="REPAIR"/>
    <m/>
    <s v="XIAOMI"/>
    <m/>
    <s v="PAD"/>
    <m/>
    <s v="JASA71"/>
    <m/>
    <s v="JASA REPAIR"/>
    <m/>
    <n v="0"/>
    <m/>
    <n v="1"/>
    <m/>
    <n v="35000"/>
    <m/>
    <n v="35000"/>
    <m/>
    <s v="Achmad Indrawanto"/>
    <m/>
    <s v="N/A"/>
  </r>
  <r>
    <m/>
    <x v="28"/>
    <m/>
    <s v="MF-FP.25335"/>
    <m/>
    <s v="MF-ST.22849"/>
    <m/>
    <d v="2026-05-22T00:00:00"/>
    <m/>
    <s v="Member Reguler"/>
    <m/>
    <s v="C.07149"/>
    <m/>
    <s v="AHMAD"/>
    <m/>
    <s v="WAHYU PRATAMA"/>
    <m/>
    <s v="SERVICE HANDPHONE"/>
    <m/>
    <x v="2"/>
    <m/>
    <s v="YUVI NOFERIANTO"/>
    <m/>
    <x v="4"/>
    <m/>
    <s v="WAHYU PRATAMA"/>
    <m/>
    <s v="REPAIR"/>
    <m/>
    <s v="XIAOMI"/>
    <m/>
    <s v="PAD"/>
    <m/>
    <s v="107200"/>
    <m/>
    <s v="LUNA DATA CABLE TYPE-C CB-2EC"/>
    <m/>
    <n v="9500"/>
    <m/>
    <n v="1"/>
    <m/>
    <n v="10000"/>
    <m/>
    <n v="10000"/>
    <m/>
    <s v="Achmad Indrawanto"/>
    <m/>
    <s v="N/A"/>
  </r>
  <r>
    <m/>
    <x v="28"/>
    <m/>
    <s v="MF-FP.25337"/>
    <m/>
    <s v="MF-ST.22833"/>
    <m/>
    <d v="2026-05-21T00:00:00"/>
    <m/>
    <s v="Member Reguler"/>
    <m/>
    <s v="C.13381"/>
    <m/>
    <s v="PAK ZULWAN"/>
    <m/>
    <s v="Achmad Indrawanto"/>
    <m/>
    <s v="SERVICE LAPTOP"/>
    <m/>
    <x v="0"/>
    <m/>
    <s v="ABDUL MUNAJAT"/>
    <m/>
    <x v="3"/>
    <m/>
    <s v="WAHYU PRATAMA"/>
    <m/>
    <s v="SOFTWARE"/>
    <m/>
    <s v="LENOVO"/>
    <m/>
    <s v="Lenovo Ideapad c340"/>
    <m/>
    <s v="JASA71"/>
    <m/>
    <s v="JASA REPAIR"/>
    <m/>
    <n v="0"/>
    <m/>
    <n v="1"/>
    <m/>
    <n v="590000"/>
    <m/>
    <n v="590000"/>
    <m/>
    <s v="Achmad Indrawanto"/>
    <m/>
    <s v="N/A"/>
  </r>
  <r>
    <m/>
    <x v="28"/>
    <m/>
    <s v="MF-FP.25337"/>
    <m/>
    <s v="MF-ST.22833"/>
    <m/>
    <d v="2026-05-21T00:00:00"/>
    <m/>
    <s v="Member Reguler"/>
    <m/>
    <s v="C.13381"/>
    <m/>
    <s v="PAK ZULWAN"/>
    <m/>
    <s v="Achmad Indrawanto"/>
    <m/>
    <s v="SERVICE LAPTOP"/>
    <m/>
    <x v="2"/>
    <m/>
    <s v="ABDUL MUNAJAT"/>
    <m/>
    <x v="3"/>
    <m/>
    <s v="WAHYU PRATAMA"/>
    <m/>
    <s v="SOFTWARE"/>
    <m/>
    <s v="LENOVO"/>
    <m/>
    <s v="Lenovo Ideapad c340"/>
    <m/>
    <s v="107200"/>
    <m/>
    <s v="LUNA DATA CABLE TYPE-C CB-2EC"/>
    <m/>
    <n v="9500"/>
    <m/>
    <n v="1"/>
    <m/>
    <n v="10000"/>
    <m/>
    <n v="10000"/>
    <m/>
    <s v="Achmad Indrawanto"/>
    <m/>
    <s v="N/A"/>
  </r>
  <r>
    <m/>
    <x v="28"/>
    <m/>
    <s v="MF-FP.25338"/>
    <m/>
    <s v="MF-ST.22853"/>
    <m/>
    <d v="2026-05-22T00:00:00"/>
    <m/>
    <s v="Umum"/>
    <m/>
    <s v="C.00000"/>
    <m/>
    <s v="Pelanggan Umum"/>
    <m/>
    <s v="HANIF"/>
    <m/>
    <s v="SERVICE HANDPHONE"/>
    <m/>
    <x v="0"/>
    <m/>
    <s v="EKO RISDIYANTORO JATIMULYA"/>
    <m/>
    <x v="2"/>
    <m/>
    <s v="HANIF"/>
    <m/>
    <s v="N/A"/>
    <m/>
    <s v="APPLE"/>
    <m/>
    <s v="apple"/>
    <m/>
    <s v="JASA71"/>
    <m/>
    <s v="JASA REPAIR"/>
    <m/>
    <n v="0"/>
    <m/>
    <n v="1"/>
    <m/>
    <n v="50000"/>
    <m/>
    <n v="50000"/>
    <m/>
    <m/>
    <m/>
    <s v="N/A"/>
  </r>
  <r>
    <m/>
    <x v="28"/>
    <m/>
    <s v="MF-FP.25339"/>
    <m/>
    <s v="MF-ST.22854"/>
    <m/>
    <d v="2026-05-22T00:00:00"/>
    <m/>
    <s v="Umum"/>
    <m/>
    <s v="C.06901"/>
    <m/>
    <s v="Bayu"/>
    <m/>
    <s v="HANIF"/>
    <m/>
    <s v="SERVICE HANDPHONE"/>
    <m/>
    <x v="0"/>
    <m/>
    <s v="MUSTOFA"/>
    <m/>
    <x v="1"/>
    <m/>
    <s v="HANIF"/>
    <m/>
    <s v="HARDWARE"/>
    <m/>
    <s v="SAMSUNG"/>
    <m/>
    <s v="a7 2018"/>
    <m/>
    <s v="JASA71"/>
    <m/>
    <s v="JASA REPAIR"/>
    <m/>
    <n v="0"/>
    <m/>
    <n v="1"/>
    <m/>
    <n v="110000"/>
    <m/>
    <n v="110000"/>
    <m/>
    <m/>
    <m/>
    <s v="N/A"/>
  </r>
  <r>
    <m/>
    <x v="28"/>
    <m/>
    <s v="MF-FP.25339"/>
    <m/>
    <s v="MF-ST.22854"/>
    <m/>
    <d v="2026-05-22T00:00:00"/>
    <m/>
    <s v="Umum"/>
    <m/>
    <s v="C.06901"/>
    <m/>
    <s v="Bayu"/>
    <m/>
    <s v="HANIF"/>
    <m/>
    <s v="SERVICE HANDPHONE"/>
    <m/>
    <x v="1"/>
    <m/>
    <s v="MUSTOFA"/>
    <m/>
    <x v="1"/>
    <m/>
    <s v="HANIF"/>
    <m/>
    <s v="HARDWARE"/>
    <m/>
    <s v="SAMSUNG"/>
    <m/>
    <s v="a7 2018"/>
    <m/>
    <s v="106794"/>
    <m/>
    <s v="PERNIK SAM A7 2018 A750"/>
    <m/>
    <n v="5000"/>
    <m/>
    <n v="1"/>
    <m/>
    <n v="20000"/>
    <m/>
    <n v="20000"/>
    <m/>
    <m/>
    <m/>
    <s v="N/A"/>
  </r>
  <r>
    <m/>
    <x v="28"/>
    <m/>
    <s v="MF-FP.25339"/>
    <m/>
    <s v="MF-ST.22854"/>
    <m/>
    <d v="2026-05-22T00:00:00"/>
    <m/>
    <s v="Umum"/>
    <m/>
    <s v="C.06901"/>
    <m/>
    <s v="Bayu"/>
    <m/>
    <s v="HANIF"/>
    <m/>
    <s v="SERVICE HANDPHONE"/>
    <m/>
    <x v="2"/>
    <m/>
    <s v="MUSTOFA"/>
    <m/>
    <x v="1"/>
    <m/>
    <s v="HANIF"/>
    <m/>
    <s v="HARDWARE"/>
    <m/>
    <s v="SAMSUNG"/>
    <m/>
    <s v="a7 2018"/>
    <m/>
    <s v="107200"/>
    <m/>
    <s v="LUNA DATA CABLE TYPE-C CB-2EC"/>
    <m/>
    <n v="9500"/>
    <m/>
    <n v="1"/>
    <m/>
    <n v="20000"/>
    <m/>
    <n v="20000"/>
    <m/>
    <m/>
    <m/>
    <s v="N/A"/>
  </r>
  <r>
    <m/>
    <x v="29"/>
    <m/>
    <s v="MF-FP.25343"/>
    <m/>
    <s v="MF-ST.22861"/>
    <m/>
    <d v="2026-05-23T00:00:00"/>
    <m/>
    <s v="Umum"/>
    <m/>
    <s v="C.13396"/>
    <m/>
    <s v="DEGA"/>
    <m/>
    <s v="WAHYU PRATAMA"/>
    <m/>
    <s v="SERVICE HANDPHONE"/>
    <m/>
    <x v="2"/>
    <m/>
    <s v="EKO RISDIYANTORO JATIMULYA"/>
    <m/>
    <x v="2"/>
    <m/>
    <s v="WAHYU PRATAMA"/>
    <m/>
    <s v="LCD"/>
    <m/>
    <s v="XIAOMI"/>
    <m/>
    <s v="REDMI 13C"/>
    <m/>
    <s v="107200"/>
    <m/>
    <s v="LUNA DATA CABLE TYPE-C CB-2EC"/>
    <m/>
    <n v="9500"/>
    <m/>
    <n v="1"/>
    <m/>
    <n v="20000"/>
    <m/>
    <n v="20000"/>
    <m/>
    <m/>
    <m/>
    <s v="N/A"/>
  </r>
  <r>
    <m/>
    <x v="29"/>
    <m/>
    <s v="MF-FP.25343"/>
    <m/>
    <s v="MF-ST.22861"/>
    <m/>
    <d v="2026-05-23T00:00:00"/>
    <m/>
    <s v="Umum"/>
    <m/>
    <s v="C.13396"/>
    <m/>
    <s v="DEGA"/>
    <m/>
    <s v="WAHYU PRATAMA"/>
    <m/>
    <s v="SERVICE HANDPHONE"/>
    <m/>
    <x v="0"/>
    <m/>
    <s v="EKO RISDIYANTORO JATIMULYA"/>
    <m/>
    <x v="2"/>
    <m/>
    <s v="WAHYU PRATAMA"/>
    <m/>
    <s v="LCD"/>
    <m/>
    <s v="XIAOMI"/>
    <m/>
    <s v="REDMI 13C"/>
    <m/>
    <s v="JASA62"/>
    <m/>
    <s v="JASA LCD 50-200RB"/>
    <m/>
    <n v="0"/>
    <m/>
    <n v="1"/>
    <m/>
    <n v="185000"/>
    <m/>
    <n v="185000"/>
    <m/>
    <m/>
    <m/>
    <s v="N/A"/>
  </r>
  <r>
    <m/>
    <x v="29"/>
    <m/>
    <s v="MF-FP.25351"/>
    <m/>
    <s v="MF-ST.22860"/>
    <m/>
    <d v="2026-05-23T00:00:00"/>
    <m/>
    <s v="Umum"/>
    <m/>
    <s v="C.06550"/>
    <m/>
    <s v="ANTON"/>
    <m/>
    <s v="WAHYU PRATAMA"/>
    <m/>
    <s v="SERVICE HANDPHONE"/>
    <m/>
    <x v="1"/>
    <m/>
    <s v="EKO RISDIYANTORO JATIMULYA"/>
    <m/>
    <x v="2"/>
    <m/>
    <s v="HANIF"/>
    <m/>
    <s v="REPAIR"/>
    <m/>
    <s v="SAMSUNG"/>
    <m/>
    <s v="A53"/>
    <m/>
    <s v="102572"/>
    <m/>
    <s v="BATER SAM A53 5G EB-BA336ABY"/>
    <m/>
    <n v="105370.2914"/>
    <m/>
    <n v="1"/>
    <m/>
    <n v="130000"/>
    <m/>
    <n v="130000"/>
    <m/>
    <m/>
    <m/>
    <s v="N/A"/>
  </r>
  <r>
    <m/>
    <x v="29"/>
    <m/>
    <s v="MF-FP.25343"/>
    <m/>
    <s v="MF-ST.22861"/>
    <m/>
    <d v="2026-05-23T00:00:00"/>
    <m/>
    <s v="Umum"/>
    <m/>
    <s v="C.13396"/>
    <m/>
    <s v="DEGA"/>
    <m/>
    <s v="WAHYU PRATAMA"/>
    <m/>
    <s v="SERVICE HANDPHONE"/>
    <m/>
    <x v="1"/>
    <m/>
    <s v="EKO RISDIYANTORO JATIMULYA"/>
    <m/>
    <x v="2"/>
    <m/>
    <s v="WAHYU PRATAMA"/>
    <m/>
    <s v="LCD"/>
    <m/>
    <s v="XIAOMI"/>
    <m/>
    <s v="REDMI 13C"/>
    <m/>
    <s v="103911"/>
    <m/>
    <s v="LCD.. XIO REDMI 12/REDMI 13/POCO M6 4G/M6 PLUS 5G"/>
    <m/>
    <n v="143471.544715"/>
    <m/>
    <n v="1"/>
    <m/>
    <n v="195000"/>
    <m/>
    <n v="195000"/>
    <m/>
    <m/>
    <m/>
    <s v="N/A"/>
  </r>
  <r>
    <m/>
    <x v="29"/>
    <m/>
    <s v="MF-FP.25350"/>
    <m/>
    <s v="MF-ST.22868"/>
    <m/>
    <d v="2026-05-23T00:00:00"/>
    <m/>
    <s v="Umum"/>
    <m/>
    <s v="C.13400"/>
    <m/>
    <s v="RIRI"/>
    <m/>
    <s v="HANIF"/>
    <m/>
    <s v="SERVICE HANDPHONE"/>
    <m/>
    <x v="0"/>
    <m/>
    <s v="MUSTOFA"/>
    <m/>
    <x v="1"/>
    <m/>
    <s v="HANIF"/>
    <m/>
    <s v="LCD"/>
    <m/>
    <s v="OPPO"/>
    <m/>
    <s v="A92"/>
    <m/>
    <s v="JASA71"/>
    <m/>
    <s v="JASA REPAIR"/>
    <m/>
    <n v="0"/>
    <m/>
    <n v="1"/>
    <m/>
    <n v="180000"/>
    <m/>
    <n v="180000"/>
    <m/>
    <m/>
    <m/>
    <s v="N/A"/>
  </r>
  <r>
    <m/>
    <x v="29"/>
    <m/>
    <s v="MF-FP.25344"/>
    <m/>
    <s v="MF-ST.22862"/>
    <m/>
    <d v="2026-05-23T00:00:00"/>
    <m/>
    <s v="Umum"/>
    <m/>
    <s v="C.13229"/>
    <m/>
    <s v="PT PANCANATURE INTERNASIONAL"/>
    <m/>
    <s v="WAHYU PRATAMA"/>
    <m/>
    <s v="SERVICE HANDPHONE"/>
    <m/>
    <x v="0"/>
    <m/>
    <s v="ABDUL MUNAJAT"/>
    <m/>
    <x v="3"/>
    <m/>
    <s v="WAHYU PRATAMA"/>
    <m/>
    <s v="BATERAI"/>
    <m/>
    <s v="XIAOMI"/>
    <m/>
    <s v="9A"/>
    <m/>
    <s v="JASA71"/>
    <m/>
    <s v="JASA REPAIR"/>
    <m/>
    <n v="0"/>
    <m/>
    <n v="1"/>
    <m/>
    <n v="150000"/>
    <m/>
    <n v="150000"/>
    <m/>
    <m/>
    <m/>
    <s v="N/A"/>
  </r>
  <r>
    <m/>
    <x v="29"/>
    <m/>
    <s v="MF-FP.25344"/>
    <m/>
    <s v="MF-ST.22862"/>
    <m/>
    <d v="2026-05-23T00:00:00"/>
    <m/>
    <s v="Umum"/>
    <m/>
    <s v="C.13229"/>
    <m/>
    <s v="PT PANCANATURE INTERNASIONAL"/>
    <m/>
    <s v="WAHYU PRATAMA"/>
    <m/>
    <s v="SERVICE HANDPHONE"/>
    <m/>
    <x v="1"/>
    <m/>
    <s v="ABDUL MUNAJAT"/>
    <m/>
    <x v="3"/>
    <m/>
    <s v="WAHYU PRATAMA"/>
    <m/>
    <s v="BATERAI"/>
    <m/>
    <s v="XIAOMI"/>
    <m/>
    <s v="9A"/>
    <m/>
    <s v="105175"/>
    <m/>
    <s v="BATER XIO REDMI 9A/REDMI 9C/REDMI 10A/A1/POCO M2 PRO BN56"/>
    <m/>
    <n v="104504.230012"/>
    <m/>
    <n v="1"/>
    <m/>
    <n v="140000"/>
    <m/>
    <n v="140000"/>
    <m/>
    <m/>
    <m/>
    <s v="N/A"/>
  </r>
  <r>
    <m/>
    <x v="29"/>
    <m/>
    <s v="MF-FP.25345"/>
    <m/>
    <s v="MF-ST.22864"/>
    <m/>
    <d v="2026-05-23T00:00:00"/>
    <m/>
    <s v="Umum"/>
    <m/>
    <s v="C.13397"/>
    <m/>
    <s v="DESI EFRIDA"/>
    <m/>
    <s v="WAHYU PRATAMA"/>
    <m/>
    <s v="SERVICE HANDPHONE"/>
    <m/>
    <x v="0"/>
    <m/>
    <s v="EKO RISDIYANTORO JATIMULYA"/>
    <m/>
    <x v="2"/>
    <m/>
    <s v="WAHYU PRATAMA"/>
    <m/>
    <s v="REPAIR"/>
    <m/>
    <s v="VIVO"/>
    <m/>
    <s v="V9"/>
    <m/>
    <s v="JASA71"/>
    <m/>
    <s v="JASA REPAIR"/>
    <m/>
    <n v="0"/>
    <m/>
    <n v="1"/>
    <m/>
    <n v="90000"/>
    <m/>
    <n v="90000"/>
    <m/>
    <m/>
    <m/>
    <s v="N/A"/>
  </r>
  <r>
    <m/>
    <x v="29"/>
    <m/>
    <s v="MF-FP.25345"/>
    <m/>
    <s v="MF-ST.22864"/>
    <m/>
    <d v="2026-05-23T00:00:00"/>
    <m/>
    <s v="Umum"/>
    <m/>
    <s v="C.13397"/>
    <m/>
    <s v="DESI EFRIDA"/>
    <m/>
    <s v="WAHYU PRATAMA"/>
    <m/>
    <s v="SERVICE HANDPHONE"/>
    <m/>
    <x v="2"/>
    <m/>
    <s v="EKO RISDIYANTORO JATIMULYA"/>
    <m/>
    <x v="2"/>
    <m/>
    <s v="WAHYU PRATAMA"/>
    <m/>
    <s v="REPAIR"/>
    <m/>
    <s v="VIVO"/>
    <m/>
    <s v="V9"/>
    <m/>
    <s v="107200"/>
    <m/>
    <s v="LUNA DATA CABLE TYPE-C CB-2EC"/>
    <m/>
    <n v="9500"/>
    <m/>
    <n v="1"/>
    <m/>
    <n v="10000"/>
    <m/>
    <n v="10000"/>
    <m/>
    <m/>
    <m/>
    <s v="N/A"/>
  </r>
  <r>
    <m/>
    <x v="29"/>
    <m/>
    <s v="MF-FP.25344"/>
    <m/>
    <s v="MF-ST.22862"/>
    <m/>
    <d v="2026-05-23T00:00:00"/>
    <m/>
    <s v="Umum"/>
    <m/>
    <s v="C.13229"/>
    <m/>
    <s v="PT PANCANATURE INTERNASIONAL"/>
    <m/>
    <s v="WAHYU PRATAMA"/>
    <m/>
    <s v="SERVICE HANDPHONE"/>
    <m/>
    <x v="2"/>
    <m/>
    <s v="ABDUL MUNAJAT"/>
    <m/>
    <x v="3"/>
    <m/>
    <s v="WAHYU PRATAMA"/>
    <m/>
    <s v="BATERAI"/>
    <m/>
    <s v="XIAOMI"/>
    <m/>
    <s v="9A"/>
    <m/>
    <s v="107200"/>
    <m/>
    <s v="LUNA DATA CABLE TYPE-C CB-2EC"/>
    <m/>
    <n v="9500"/>
    <m/>
    <n v="1"/>
    <m/>
    <n v="10000"/>
    <m/>
    <n v="10000"/>
    <m/>
    <m/>
    <m/>
    <s v="N/A"/>
  </r>
  <r>
    <m/>
    <x v="29"/>
    <m/>
    <s v="MF-FP.25350"/>
    <m/>
    <s v="MF-ST.22868"/>
    <m/>
    <d v="2026-05-23T00:00:00"/>
    <m/>
    <s v="Umum"/>
    <m/>
    <s v="C.13400"/>
    <m/>
    <s v="RIRI"/>
    <m/>
    <s v="HANIF"/>
    <m/>
    <s v="SERVICE HANDPHONE"/>
    <m/>
    <x v="1"/>
    <m/>
    <s v="MUSTOFA"/>
    <m/>
    <x v="1"/>
    <m/>
    <s v="HANIF"/>
    <m/>
    <s v="LCD"/>
    <m/>
    <s v="OPPO"/>
    <m/>
    <s v="A92"/>
    <m/>
    <s v="100112"/>
    <m/>
    <s v="LCD.. OPP A52 A72 A92 2020 B FST"/>
    <m/>
    <n v="127541.866391"/>
    <m/>
    <n v="1"/>
    <m/>
    <n v="200000"/>
    <m/>
    <n v="200000"/>
    <m/>
    <m/>
    <m/>
    <s v="N/A"/>
  </r>
  <r>
    <m/>
    <x v="29"/>
    <m/>
    <s v="MF-FP.25350"/>
    <m/>
    <s v="MF-ST.22868"/>
    <m/>
    <d v="2026-05-23T00:00:00"/>
    <m/>
    <s v="Umum"/>
    <m/>
    <s v="C.13400"/>
    <m/>
    <s v="RIRI"/>
    <m/>
    <s v="HANIF"/>
    <m/>
    <s v="SERVICE HANDPHONE"/>
    <m/>
    <x v="2"/>
    <m/>
    <s v="MUSTOFA"/>
    <m/>
    <x v="1"/>
    <m/>
    <s v="HANIF"/>
    <m/>
    <s v="LCD"/>
    <m/>
    <s v="OPPO"/>
    <m/>
    <s v="A92"/>
    <m/>
    <s v="107200"/>
    <m/>
    <s v="LUNA DATA CABLE TYPE-C CB-2EC"/>
    <m/>
    <n v="9500"/>
    <m/>
    <n v="1"/>
    <m/>
    <n v="20000"/>
    <m/>
    <n v="20000"/>
    <m/>
    <m/>
    <m/>
    <s v="N/A"/>
  </r>
  <r>
    <m/>
    <x v="29"/>
    <m/>
    <s v="MF-FP.25346"/>
    <m/>
    <s v="MF-ST.22865"/>
    <m/>
    <d v="2026-05-23T00:00:00"/>
    <m/>
    <s v="Umum"/>
    <m/>
    <s v="C.13398"/>
    <m/>
    <s v="ARDI"/>
    <m/>
    <s v="WAHYU PRATAMA"/>
    <m/>
    <s v="SERVICE HANDPHONE"/>
    <m/>
    <x v="0"/>
    <m/>
    <s v="MUSTOFA"/>
    <m/>
    <x v="4"/>
    <m/>
    <s v="WAHYU PRATAMA"/>
    <m/>
    <s v="BATERAI"/>
    <m/>
    <s v="INFINIX"/>
    <m/>
    <s v="HOT 12 PRO"/>
    <m/>
    <s v="JASA71"/>
    <m/>
    <s v="JASA REPAIR"/>
    <m/>
    <n v="0"/>
    <m/>
    <n v="1"/>
    <m/>
    <n v="180000"/>
    <m/>
    <n v="180000"/>
    <m/>
    <m/>
    <m/>
    <s v="N/A"/>
  </r>
  <r>
    <m/>
    <x v="29"/>
    <m/>
    <s v="MF-FP.25347"/>
    <m/>
    <s v="MF-ST.22866"/>
    <m/>
    <d v="2026-05-23T00:00:00"/>
    <m/>
    <s v="Umum"/>
    <m/>
    <s v="C.12899"/>
    <m/>
    <s v="VERA"/>
    <m/>
    <s v="WAHYU PRATAMA"/>
    <m/>
    <s v="SERVICE HANDPHONE"/>
    <m/>
    <x v="0"/>
    <m/>
    <s v="EKO RISDIYANTORO JATIMULYA"/>
    <m/>
    <x v="2"/>
    <m/>
    <s v="WAHYU PRATAMA"/>
    <m/>
    <s v="LCD"/>
    <m/>
    <s v="APPLE"/>
    <m/>
    <s v="11 PRO"/>
    <m/>
    <s v="JASA71"/>
    <m/>
    <s v="JASA REPAIR"/>
    <m/>
    <n v="0"/>
    <m/>
    <n v="1"/>
    <m/>
    <n v="290000"/>
    <m/>
    <n v="290000"/>
    <m/>
    <m/>
    <m/>
    <s v="N/A"/>
  </r>
  <r>
    <m/>
    <x v="29"/>
    <m/>
    <s v="MF-FP.25347"/>
    <m/>
    <s v="MF-ST.22866"/>
    <m/>
    <d v="2026-05-23T00:00:00"/>
    <m/>
    <s v="Umum"/>
    <m/>
    <s v="C.12899"/>
    <m/>
    <s v="VERA"/>
    <m/>
    <s v="WAHYU PRATAMA"/>
    <m/>
    <s v="SERVICE HANDPHONE"/>
    <m/>
    <x v="1"/>
    <m/>
    <s v="EKO RISDIYANTORO JATIMULYA"/>
    <m/>
    <x v="2"/>
    <m/>
    <s v="WAHYU PRATAMA"/>
    <m/>
    <s v="LCD"/>
    <m/>
    <s v="APPLE"/>
    <m/>
    <s v="11 PRO"/>
    <m/>
    <s v="100489"/>
    <m/>
    <s v="LCD.. IPH 11 PRO B"/>
    <m/>
    <n v="222500"/>
    <m/>
    <n v="1"/>
    <m/>
    <n v="300000"/>
    <m/>
    <n v="300000"/>
    <m/>
    <m/>
    <m/>
    <s v="N/A"/>
  </r>
  <r>
    <m/>
    <x v="29"/>
    <m/>
    <s v="MF-FP.25347"/>
    <m/>
    <s v="MF-ST.22866"/>
    <m/>
    <d v="2026-05-23T00:00:00"/>
    <m/>
    <s v="Umum"/>
    <m/>
    <s v="C.12899"/>
    <m/>
    <s v="VERA"/>
    <m/>
    <s v="WAHYU PRATAMA"/>
    <m/>
    <s v="SERVICE HANDPHONE"/>
    <m/>
    <x v="2"/>
    <m/>
    <s v="EKO RISDIYANTORO JATIMULYA"/>
    <m/>
    <x v="2"/>
    <m/>
    <s v="WAHYU PRATAMA"/>
    <m/>
    <s v="LCD"/>
    <m/>
    <s v="APPLE"/>
    <m/>
    <s v="11 PRO"/>
    <m/>
    <s v="107200"/>
    <m/>
    <s v="LUNA DATA CABLE TYPE-C CB-2EC"/>
    <m/>
    <n v="9500"/>
    <m/>
    <n v="1"/>
    <m/>
    <n v="10000"/>
    <m/>
    <n v="10000"/>
    <m/>
    <m/>
    <m/>
    <s v="N/A"/>
  </r>
  <r>
    <m/>
    <x v="29"/>
    <m/>
    <s v="MF-FP.25351"/>
    <m/>
    <s v="MF-ST.22860"/>
    <m/>
    <d v="2026-05-23T00:00:00"/>
    <m/>
    <s v="Umum"/>
    <m/>
    <s v="C.06550"/>
    <m/>
    <s v="ANTON"/>
    <m/>
    <s v="WAHYU PRATAMA"/>
    <m/>
    <s v="SERVICE HANDPHONE"/>
    <m/>
    <x v="0"/>
    <m/>
    <s v="EKO RISDIYANTORO JATIMULYA"/>
    <m/>
    <x v="2"/>
    <m/>
    <s v="HANIF"/>
    <m/>
    <s v="REPAIR"/>
    <m/>
    <s v="SAMSUNG"/>
    <m/>
    <s v="A53"/>
    <m/>
    <s v="JASA71"/>
    <m/>
    <s v="JASA REPAIR"/>
    <m/>
    <n v="0"/>
    <m/>
    <n v="1"/>
    <m/>
    <n v="660000"/>
    <m/>
    <n v="660000"/>
    <m/>
    <m/>
    <m/>
    <s v="N/A"/>
  </r>
  <r>
    <m/>
    <x v="29"/>
    <m/>
    <s v="MF-FP.25348"/>
    <m/>
    <s v="MF-ST.22848"/>
    <m/>
    <d v="2026-05-22T00:00:00"/>
    <m/>
    <s v="Umum"/>
    <m/>
    <s v="C.13357"/>
    <m/>
    <s v="SUDIRMAN"/>
    <m/>
    <s v="WAHYU PRATAMA"/>
    <m/>
    <s v="SERVICE HANDPHONE"/>
    <m/>
    <x v="1"/>
    <m/>
    <s v="YUVI NOFERIANTO"/>
    <m/>
    <x v="4"/>
    <m/>
    <s v="HANIF"/>
    <m/>
    <s v="LCD"/>
    <m/>
    <s v="SAMSUNG"/>
    <m/>
    <s v="A72"/>
    <m/>
    <s v="101759"/>
    <m/>
    <s v="FLBRD SAM A72"/>
    <m/>
    <n v="34480"/>
    <m/>
    <n v="1"/>
    <m/>
    <n v="50000"/>
    <m/>
    <n v="50000"/>
    <m/>
    <m/>
    <m/>
    <s v="N/A"/>
  </r>
  <r>
    <m/>
    <x v="29"/>
    <m/>
    <s v="MF-FP.25348"/>
    <m/>
    <s v="MF-ST.22848"/>
    <m/>
    <d v="2026-05-22T00:00:00"/>
    <m/>
    <s v="Umum"/>
    <m/>
    <s v="C.13357"/>
    <m/>
    <s v="SUDIRMAN"/>
    <m/>
    <s v="WAHYU PRATAMA"/>
    <m/>
    <s v="SERVICE HANDPHONE"/>
    <m/>
    <x v="2"/>
    <m/>
    <s v="YUVI NOFERIANTO"/>
    <m/>
    <x v="4"/>
    <m/>
    <s v="HANIF"/>
    <m/>
    <s v="LCD"/>
    <m/>
    <s v="SAMSUNG"/>
    <m/>
    <s v="A72"/>
    <m/>
    <s v="107200"/>
    <m/>
    <s v="LUNA DATA CABLE TYPE-C CB-2EC"/>
    <m/>
    <n v="9500"/>
    <m/>
    <n v="1"/>
    <m/>
    <n v="20000"/>
    <m/>
    <n v="20000"/>
    <m/>
    <m/>
    <m/>
    <s v="N/A"/>
  </r>
  <r>
    <m/>
    <x v="29"/>
    <m/>
    <s v="MF-FP.25351"/>
    <m/>
    <s v="MF-ST.22860"/>
    <m/>
    <d v="2026-05-23T00:00:00"/>
    <m/>
    <s v="Umum"/>
    <m/>
    <s v="C.06550"/>
    <m/>
    <s v="ANTON"/>
    <m/>
    <s v="WAHYU PRATAMA"/>
    <m/>
    <s v="SERVICE HANDPHONE"/>
    <m/>
    <x v="1"/>
    <m/>
    <s v="EKO RISDIYANTORO JATIMULYA"/>
    <m/>
    <x v="2"/>
    <m/>
    <s v="HANIF"/>
    <m/>
    <s v="REPAIR"/>
    <m/>
    <s v="SAMSUNG"/>
    <m/>
    <s v="A53"/>
    <m/>
    <s v="105911"/>
    <m/>
    <s v="KNLCD SAM A52/A52S/M52 78 PIN"/>
    <m/>
    <n v="5098.4699620000001"/>
    <m/>
    <n v="1"/>
    <m/>
    <n v="20000"/>
    <m/>
    <n v="20000"/>
    <m/>
    <m/>
    <m/>
    <s v="N/A"/>
  </r>
  <r>
    <m/>
    <x v="29"/>
    <m/>
    <s v="MF-FP.25351"/>
    <m/>
    <s v="MF-ST.22860"/>
    <m/>
    <d v="2026-05-23T00:00:00"/>
    <m/>
    <s v="Umum"/>
    <m/>
    <s v="C.06550"/>
    <m/>
    <s v="ANTON"/>
    <m/>
    <s v="WAHYU PRATAMA"/>
    <m/>
    <s v="SERVICE HANDPHONE"/>
    <m/>
    <x v="1"/>
    <m/>
    <s v="EKO RISDIYANTORO JATIMULYA"/>
    <m/>
    <x v="2"/>
    <m/>
    <s v="HANIF"/>
    <m/>
    <s v="REPAIR"/>
    <m/>
    <s v="SAMSUNG"/>
    <m/>
    <s v="A53"/>
    <m/>
    <s v="102403"/>
    <m/>
    <s v="PERNIK TBL O/F + VLM SAM A53 BLACK"/>
    <m/>
    <n v="35000"/>
    <m/>
    <n v="1"/>
    <m/>
    <n v="40000"/>
    <m/>
    <n v="40000"/>
    <m/>
    <m/>
    <m/>
    <s v="N/A"/>
  </r>
  <r>
    <m/>
    <x v="29"/>
    <m/>
    <s v="MF-FP.25351"/>
    <m/>
    <s v="MF-ST.22860"/>
    <m/>
    <d v="2026-05-23T00:00:00"/>
    <m/>
    <s v="Umum"/>
    <m/>
    <s v="C.06550"/>
    <m/>
    <s v="ANTON"/>
    <m/>
    <s v="WAHYU PRATAMA"/>
    <m/>
    <s v="SERVICE HANDPHONE"/>
    <m/>
    <x v="1"/>
    <m/>
    <s v="EKO RISDIYANTORO JATIMULYA"/>
    <m/>
    <x v="2"/>
    <m/>
    <s v="HANIF"/>
    <m/>
    <s v="REPAIR"/>
    <m/>
    <s v="SAMSUNG"/>
    <m/>
    <s v="A53"/>
    <m/>
    <s v="107314"/>
    <m/>
    <s v="BCKDR SAM A53"/>
    <m/>
    <n v="24000"/>
    <m/>
    <n v="1"/>
    <m/>
    <n v="30000"/>
    <m/>
    <n v="30000"/>
    <m/>
    <m/>
    <m/>
    <s v="N/A"/>
  </r>
  <r>
    <m/>
    <x v="29"/>
    <m/>
    <s v="MF-FP.25351"/>
    <m/>
    <s v="MF-ST.22860"/>
    <m/>
    <d v="2026-05-23T00:00:00"/>
    <m/>
    <s v="Umum"/>
    <m/>
    <s v="C.06550"/>
    <m/>
    <s v="ANTON"/>
    <m/>
    <s v="WAHYU PRATAMA"/>
    <m/>
    <s v="SERVICE HANDPHONE"/>
    <m/>
    <x v="2"/>
    <m/>
    <s v="EKO RISDIYANTORO JATIMULYA"/>
    <m/>
    <x v="2"/>
    <m/>
    <s v="HANIF"/>
    <m/>
    <s v="REPAIR"/>
    <m/>
    <s v="SAMSUNG"/>
    <m/>
    <s v="A53"/>
    <m/>
    <s v="107200"/>
    <m/>
    <s v="LUNA DATA CABLE TYPE-C CB-2EC"/>
    <m/>
    <n v="9500"/>
    <m/>
    <n v="1"/>
    <m/>
    <n v="20000"/>
    <m/>
    <n v="20000"/>
    <m/>
    <m/>
    <m/>
    <s v="N/A"/>
  </r>
  <r>
    <m/>
    <x v="29"/>
    <m/>
    <s v="MF-FP.25353"/>
    <m/>
    <s v="MF-ST.22867"/>
    <m/>
    <d v="2026-05-23T00:00:00"/>
    <m/>
    <s v="Umum"/>
    <m/>
    <s v="C.13399"/>
    <m/>
    <s v="TINI"/>
    <m/>
    <s v="WAHYU PRATAMA"/>
    <m/>
    <s v="SERVICE HANDPHONE"/>
    <m/>
    <x v="0"/>
    <m/>
    <s v="MUSTOFA"/>
    <m/>
    <x v="1"/>
    <m/>
    <s v="Achmad Indrawanto"/>
    <m/>
    <s v="SOFTWARE"/>
    <m/>
    <s v="INFINIX"/>
    <m/>
    <s v="NOTE 30"/>
    <m/>
    <s v="JASA71"/>
    <m/>
    <s v="JASA REPAIR"/>
    <m/>
    <n v="0"/>
    <m/>
    <n v="1"/>
    <m/>
    <n v="130000"/>
    <m/>
    <n v="130000"/>
    <m/>
    <m/>
    <m/>
    <s v="N/A"/>
  </r>
  <r>
    <m/>
    <x v="29"/>
    <m/>
    <s v="MF-FP.25353"/>
    <m/>
    <s v="MF-ST.22867"/>
    <m/>
    <d v="2026-05-23T00:00:00"/>
    <m/>
    <s v="Umum"/>
    <m/>
    <s v="C.13399"/>
    <m/>
    <s v="TINI"/>
    <m/>
    <s v="WAHYU PRATAMA"/>
    <m/>
    <s v="SERVICE HANDPHONE"/>
    <m/>
    <x v="2"/>
    <m/>
    <s v="MUSTOFA"/>
    <m/>
    <x v="1"/>
    <m/>
    <s v="Achmad Indrawanto"/>
    <m/>
    <s v="SOFTWARE"/>
    <m/>
    <s v="INFINIX"/>
    <m/>
    <s v="NOTE 30"/>
    <m/>
    <s v="107200"/>
    <m/>
    <s v="LUNA DATA CABLE TYPE-C CB-2EC"/>
    <m/>
    <n v="9500"/>
    <m/>
    <n v="1"/>
    <m/>
    <n v="20000"/>
    <m/>
    <n v="20000"/>
    <m/>
    <m/>
    <m/>
    <s v="N/A"/>
  </r>
  <r>
    <m/>
    <x v="29"/>
    <m/>
    <s v="MF-FP.25355"/>
    <m/>
    <s v="MF-ST.22873"/>
    <m/>
    <d v="2026-05-23T00:00:00"/>
    <m/>
    <s v="Umum"/>
    <m/>
    <s v="C.13403"/>
    <m/>
    <s v="HENI"/>
    <m/>
    <s v="HANIF"/>
    <m/>
    <s v="SERVICE LAPTOP"/>
    <m/>
    <x v="0"/>
    <m/>
    <s v="ARIFIN SANTOSO JATIMULYA"/>
    <m/>
    <x v="6"/>
    <m/>
    <s v="HANIF"/>
    <m/>
    <s v="SOFTWARE"/>
    <m/>
    <s v="HP"/>
    <m/>
    <s v="HP probook 445 g9"/>
    <m/>
    <s v="JASA71"/>
    <m/>
    <s v="JASA REPAIR"/>
    <m/>
    <n v="0"/>
    <m/>
    <n v="1"/>
    <m/>
    <n v="130000"/>
    <m/>
    <n v="130000"/>
    <m/>
    <m/>
    <m/>
    <s v="N/A"/>
  </r>
  <r>
    <m/>
    <x v="29"/>
    <m/>
    <s v="MF-FP.25355"/>
    <m/>
    <s v="MF-ST.22873"/>
    <m/>
    <d v="2026-05-23T00:00:00"/>
    <m/>
    <s v="Umum"/>
    <m/>
    <s v="C.13403"/>
    <m/>
    <s v="HENI"/>
    <m/>
    <s v="HANIF"/>
    <m/>
    <s v="SERVICE LAPTOP"/>
    <m/>
    <x v="2"/>
    <m/>
    <s v="ARIFIN SANTOSO JATIMULYA"/>
    <m/>
    <x v="6"/>
    <m/>
    <s v="HANIF"/>
    <m/>
    <s v="SOFTWARE"/>
    <m/>
    <s v="HP"/>
    <m/>
    <s v="HP probook 445 g9"/>
    <m/>
    <s v="107200"/>
    <m/>
    <s v="LUNA DATA CABLE TYPE-C CB-2EC"/>
    <m/>
    <n v="9500"/>
    <m/>
    <n v="1"/>
    <m/>
    <n v="20000"/>
    <m/>
    <n v="20000"/>
    <m/>
    <m/>
    <m/>
    <s v="N/A"/>
  </r>
  <r>
    <m/>
    <x v="29"/>
    <m/>
    <s v="MF-FP.25359"/>
    <m/>
    <s v="MF-ST.22879"/>
    <m/>
    <d v="2026-05-23T00:00:00"/>
    <m/>
    <s v="Umum"/>
    <m/>
    <s v="C.13408"/>
    <m/>
    <s v="FIRLI"/>
    <m/>
    <s v="HANIF"/>
    <m/>
    <s v="SERVICE HANDPHONE"/>
    <m/>
    <x v="0"/>
    <m/>
    <s v="YUVI NOFERIANTO"/>
    <m/>
    <x v="4"/>
    <m/>
    <s v="HANIF"/>
    <m/>
    <s v="BATERAI"/>
    <m/>
    <s v="XIAOMI"/>
    <m/>
    <s v="REDMI"/>
    <m/>
    <s v="JASA71"/>
    <m/>
    <s v="JASA REPAIR"/>
    <m/>
    <n v="0"/>
    <m/>
    <n v="1"/>
    <m/>
    <n v="200000"/>
    <m/>
    <n v="200000"/>
    <m/>
    <m/>
    <m/>
    <s v="N/A"/>
  </r>
  <r>
    <m/>
    <x v="29"/>
    <m/>
    <s v="MF-FP.25359"/>
    <m/>
    <s v="MF-ST.22879"/>
    <m/>
    <d v="2026-05-23T00:00:00"/>
    <m/>
    <s v="Umum"/>
    <m/>
    <s v="C.13408"/>
    <m/>
    <s v="FIRLI"/>
    <m/>
    <s v="HANIF"/>
    <m/>
    <s v="SERVICE HANDPHONE"/>
    <m/>
    <x v="1"/>
    <m/>
    <s v="YUVI NOFERIANTO"/>
    <m/>
    <x v="4"/>
    <m/>
    <s v="HANIF"/>
    <m/>
    <s v="BATERAI"/>
    <m/>
    <s v="XIAOMI"/>
    <m/>
    <s v="REDMI"/>
    <m/>
    <s v="102427"/>
    <m/>
    <s v="BATER XIO REDMI 10 4G/NOTE 10 5G/POCO M3 PRO 5G BN5A"/>
    <m/>
    <n v="113081.17271300001"/>
    <m/>
    <n v="1"/>
    <m/>
    <n v="130000"/>
    <m/>
    <n v="130000"/>
    <m/>
    <m/>
    <m/>
    <s v="N/A"/>
  </r>
  <r>
    <m/>
    <x v="29"/>
    <m/>
    <s v="MF-FP.25359"/>
    <m/>
    <s v="MF-ST.22879"/>
    <m/>
    <d v="2026-05-23T00:00:00"/>
    <m/>
    <s v="Umum"/>
    <m/>
    <s v="C.13408"/>
    <m/>
    <s v="FIRLI"/>
    <m/>
    <s v="HANIF"/>
    <m/>
    <s v="SERVICE HANDPHONE"/>
    <m/>
    <x v="2"/>
    <m/>
    <s v="YUVI NOFERIANTO"/>
    <m/>
    <x v="4"/>
    <m/>
    <s v="HANIF"/>
    <m/>
    <s v="BATERAI"/>
    <m/>
    <s v="XIAOMI"/>
    <m/>
    <s v="REDMI"/>
    <m/>
    <s v="107200"/>
    <m/>
    <s v="LUNA DATA CABLE TYPE-C CB-2EC"/>
    <m/>
    <n v="9500"/>
    <m/>
    <n v="1"/>
    <m/>
    <n v="20000"/>
    <m/>
    <n v="20000"/>
    <m/>
    <m/>
    <m/>
    <s v="N/A"/>
  </r>
  <r>
    <m/>
    <x v="29"/>
    <m/>
    <s v="MF-FP.25360"/>
    <m/>
    <s v="MF-ST.22869"/>
    <m/>
    <d v="2026-05-23T00:00:00"/>
    <m/>
    <s v="Umum"/>
    <m/>
    <s v="C.13401"/>
    <m/>
    <s v="RIZA DARUS"/>
    <m/>
    <s v="HANIF"/>
    <m/>
    <s v="SERVICE HANDPHONE"/>
    <m/>
    <x v="0"/>
    <m/>
    <s v="YUVI NOFERIANTO"/>
    <m/>
    <x v="4"/>
    <m/>
    <s v="HANIF"/>
    <m/>
    <s v="LCD"/>
    <m/>
    <s v="OPPO"/>
    <m/>
    <s v="Oppo a58"/>
    <m/>
    <s v="JASA71"/>
    <m/>
    <s v="JASA REPAIR"/>
    <m/>
    <n v="0"/>
    <m/>
    <n v="1"/>
    <m/>
    <n v="250000"/>
    <m/>
    <n v="250000"/>
    <m/>
    <m/>
    <m/>
    <s v="N/A"/>
  </r>
  <r>
    <m/>
    <x v="29"/>
    <m/>
    <s v="MF-FP.25360"/>
    <m/>
    <s v="MF-ST.22869"/>
    <m/>
    <d v="2026-05-23T00:00:00"/>
    <m/>
    <s v="Umum"/>
    <m/>
    <s v="C.13401"/>
    <m/>
    <s v="RIZA DARUS"/>
    <m/>
    <s v="HANIF"/>
    <m/>
    <s v="SERVICE HANDPHONE"/>
    <m/>
    <x v="1"/>
    <m/>
    <s v="YUVI NOFERIANTO"/>
    <m/>
    <x v="4"/>
    <m/>
    <s v="HANIF"/>
    <m/>
    <s v="LCD"/>
    <m/>
    <s v="OPPO"/>
    <m/>
    <s v="Oppo a58"/>
    <m/>
    <s v="102918"/>
    <m/>
    <s v="LCD.. RLM C55 / RLM 11 5G / OPP A58 4G / OPP A79 5G / OPP A98 B"/>
    <m/>
    <n v="134185.254113"/>
    <m/>
    <n v="1"/>
    <m/>
    <n v="180000"/>
    <m/>
    <n v="180000"/>
    <m/>
    <m/>
    <m/>
    <s v="N/A"/>
  </r>
  <r>
    <m/>
    <x v="29"/>
    <m/>
    <s v="MF-FP.25348"/>
    <m/>
    <s v="MF-ST.22848"/>
    <m/>
    <d v="2026-05-22T00:00:00"/>
    <m/>
    <s v="Umum"/>
    <m/>
    <s v="C.13357"/>
    <m/>
    <s v="SUDIRMAN"/>
    <m/>
    <s v="WAHYU PRATAMA"/>
    <m/>
    <s v="SERVICE HANDPHONE"/>
    <m/>
    <x v="0"/>
    <m/>
    <s v="YUVI NOFERIANTO"/>
    <m/>
    <x v="4"/>
    <m/>
    <s v="HANIF"/>
    <m/>
    <s v="LCD"/>
    <m/>
    <s v="SAMSUNG"/>
    <m/>
    <s v="A72"/>
    <m/>
    <s v="JASA71"/>
    <m/>
    <s v="JASA REPAIR"/>
    <m/>
    <n v="0"/>
    <m/>
    <n v="1"/>
    <m/>
    <n v="330000"/>
    <m/>
    <n v="330000"/>
    <m/>
    <m/>
    <m/>
    <s v="N/A"/>
  </r>
  <r>
    <m/>
    <x v="29"/>
    <m/>
    <s v="MF-FP.25349"/>
    <m/>
    <s v="MF-ST.22856"/>
    <m/>
    <d v="2026-05-22T00:00:00"/>
    <m/>
    <s v="Umum"/>
    <m/>
    <s v="C.00486"/>
    <m/>
    <s v="Fian"/>
    <m/>
    <s v="HANIF"/>
    <m/>
    <s v="SERVICE HANDPHONE"/>
    <m/>
    <x v="0"/>
    <m/>
    <s v="EKO RISDIYANTORO JATIMULYA"/>
    <m/>
    <x v="2"/>
    <m/>
    <s v="HANIF"/>
    <m/>
    <s v="HARDWARE"/>
    <m/>
    <s v="OPPO"/>
    <m/>
    <s v="A53"/>
    <m/>
    <s v="JASA71"/>
    <m/>
    <s v="JASA REPAIR"/>
    <m/>
    <n v="0"/>
    <m/>
    <n v="1"/>
    <m/>
    <n v="180000"/>
    <m/>
    <n v="180000"/>
    <m/>
    <m/>
    <m/>
    <s v="N/A"/>
  </r>
  <r>
    <m/>
    <x v="29"/>
    <m/>
    <s v="MF-FP.25349"/>
    <m/>
    <s v="MF-ST.22856"/>
    <m/>
    <d v="2026-05-22T00:00:00"/>
    <m/>
    <s v="Umum"/>
    <m/>
    <s v="C.00486"/>
    <m/>
    <s v="Fian"/>
    <m/>
    <s v="HANIF"/>
    <m/>
    <s v="SERVICE HANDPHONE"/>
    <m/>
    <x v="2"/>
    <m/>
    <s v="EKO RISDIYANTORO JATIMULYA"/>
    <m/>
    <x v="2"/>
    <m/>
    <s v="HANIF"/>
    <m/>
    <s v="HARDWARE"/>
    <m/>
    <s v="OPPO"/>
    <m/>
    <s v="A53"/>
    <m/>
    <s v="107200"/>
    <m/>
    <s v="LUNA DATA CABLE TYPE-C CB-2EC"/>
    <m/>
    <n v="9500"/>
    <m/>
    <n v="1"/>
    <m/>
    <n v="20000"/>
    <m/>
    <n v="20000"/>
    <m/>
    <m/>
    <m/>
    <s v="N/A"/>
  </r>
  <r>
    <m/>
    <x v="29"/>
    <m/>
    <s v="MF-FP.25352"/>
    <m/>
    <s v="MF-ST.22870"/>
    <m/>
    <d v="2026-05-23T00:00:00"/>
    <m/>
    <s v="Umum"/>
    <m/>
    <s v="C.10680"/>
    <m/>
    <s v="FAJRI"/>
    <m/>
    <s v="HANIF"/>
    <m/>
    <s v="SERVICE HANDPHONE"/>
    <m/>
    <x v="1"/>
    <m/>
    <s v="ARI MARWAN"/>
    <m/>
    <x v="0"/>
    <m/>
    <s v="HANIF"/>
    <m/>
    <s v="HARDWARE"/>
    <m/>
    <s v="AXIO"/>
    <m/>
    <s v="POCO X3"/>
    <m/>
    <s v="101690"/>
    <m/>
    <s v="FLBRD XIO POCO X3/X3 PRO"/>
    <m/>
    <n v="11958.354979"/>
    <m/>
    <n v="1"/>
    <m/>
    <n v="30000"/>
    <m/>
    <n v="30000"/>
    <m/>
    <m/>
    <m/>
    <s v="N/A"/>
  </r>
  <r>
    <m/>
    <x v="29"/>
    <m/>
    <s v="MF-FP.25352"/>
    <m/>
    <s v="MF-ST.22870"/>
    <m/>
    <d v="2026-05-23T00:00:00"/>
    <m/>
    <s v="Umum"/>
    <m/>
    <s v="C.10680"/>
    <m/>
    <s v="FAJRI"/>
    <m/>
    <s v="HANIF"/>
    <m/>
    <s v="SERVICE HANDPHONE"/>
    <m/>
    <x v="0"/>
    <m/>
    <s v="ARI MARWAN"/>
    <m/>
    <x v="0"/>
    <m/>
    <s v="HANIF"/>
    <m/>
    <s v="HARDWARE"/>
    <m/>
    <s v="AXIO"/>
    <m/>
    <s v="POCO X3"/>
    <m/>
    <s v="JASA71"/>
    <m/>
    <s v="JASA REPAIR"/>
    <m/>
    <n v="0"/>
    <m/>
    <n v="1"/>
    <m/>
    <n v="120000"/>
    <m/>
    <n v="120000"/>
    <m/>
    <m/>
    <m/>
    <s v="N/A"/>
  </r>
  <r>
    <m/>
    <x v="29"/>
    <m/>
    <s v="MF-FP.25356"/>
    <m/>
    <s v="MF-ST.22875"/>
    <m/>
    <d v="2026-05-23T00:00:00"/>
    <m/>
    <s v="Umum"/>
    <m/>
    <s v="C.13404"/>
    <m/>
    <s v="ELVIRA"/>
    <m/>
    <s v="HANIF"/>
    <m/>
    <s v="SERVICE HANDPHONE"/>
    <m/>
    <x v="0"/>
    <m/>
    <s v="ARI MARWAN"/>
    <m/>
    <x v="0"/>
    <m/>
    <s v="HANIF"/>
    <m/>
    <s v="BATERAI"/>
    <m/>
    <s v="SAMSUNG"/>
    <m/>
    <s v="a52"/>
    <m/>
    <s v="JASA71"/>
    <m/>
    <s v="JASA REPAIR"/>
    <m/>
    <n v="0"/>
    <m/>
    <n v="1"/>
    <m/>
    <n v="200000"/>
    <m/>
    <n v="200000"/>
    <m/>
    <m/>
    <m/>
    <s v="N/A"/>
  </r>
  <r>
    <m/>
    <x v="29"/>
    <m/>
    <s v="MF-FP.25356"/>
    <m/>
    <s v="MF-ST.22875"/>
    <m/>
    <d v="2026-05-23T00:00:00"/>
    <m/>
    <s v="Umum"/>
    <m/>
    <s v="C.13404"/>
    <m/>
    <s v="ELVIRA"/>
    <m/>
    <s v="HANIF"/>
    <m/>
    <s v="SERVICE HANDPHONE"/>
    <m/>
    <x v="1"/>
    <m/>
    <s v="ARI MARWAN"/>
    <m/>
    <x v="0"/>
    <m/>
    <s v="HANIF"/>
    <m/>
    <s v="BATERAI"/>
    <m/>
    <s v="SAMSUNG"/>
    <m/>
    <s v="a52"/>
    <m/>
    <s v="104726"/>
    <m/>
    <s v="BATER SAM A52 4G/5G / S20 FE 5G / EB-BG781ABY"/>
    <m/>
    <n v="113471.091172"/>
    <m/>
    <n v="1"/>
    <m/>
    <n v="130000"/>
    <m/>
    <n v="130000"/>
    <m/>
    <m/>
    <m/>
    <s v="N/A"/>
  </r>
  <r>
    <m/>
    <x v="29"/>
    <m/>
    <s v="MF-FP.25356"/>
    <m/>
    <s v="MF-ST.22875"/>
    <m/>
    <d v="2026-05-23T00:00:00"/>
    <m/>
    <s v="Umum"/>
    <m/>
    <s v="C.13404"/>
    <m/>
    <s v="ELVIRA"/>
    <m/>
    <s v="HANIF"/>
    <m/>
    <s v="SERVICE HANDPHONE"/>
    <m/>
    <x v="2"/>
    <m/>
    <s v="ARI MARWAN"/>
    <m/>
    <x v="0"/>
    <m/>
    <s v="HANIF"/>
    <m/>
    <s v="BATERAI"/>
    <m/>
    <s v="SAMSUNG"/>
    <m/>
    <s v="a52"/>
    <m/>
    <s v="107200"/>
    <m/>
    <s v="LUNA DATA CABLE TYPE-C CB-2EC"/>
    <m/>
    <n v="9500"/>
    <m/>
    <n v="1"/>
    <m/>
    <n v="20000"/>
    <m/>
    <n v="20000"/>
    <m/>
    <m/>
    <m/>
    <s v="N/A"/>
  </r>
  <r>
    <m/>
    <x v="29"/>
    <m/>
    <s v="MF-FP.25357"/>
    <m/>
    <s v="MF-ST.22704"/>
    <m/>
    <d v="2026-05-15T00:00:00"/>
    <m/>
    <s v="Member Reguler"/>
    <m/>
    <s v="C.02575"/>
    <m/>
    <s v="FAHMI ALI"/>
    <m/>
    <s v="HANIF"/>
    <m/>
    <s v="SERVICE HANDPHONE"/>
    <m/>
    <x v="0"/>
    <m/>
    <s v="EKO RISDIYANTORO JATIMULYA"/>
    <m/>
    <x v="2"/>
    <m/>
    <s v="Achmad Indrawanto"/>
    <m/>
    <s v="LCD"/>
    <m/>
    <s v="SAMSUNG"/>
    <m/>
    <s v="samsung a21s"/>
    <m/>
    <s v="JASA71"/>
    <m/>
    <s v="JASA REPAIR"/>
    <m/>
    <n v="0"/>
    <m/>
    <n v="1"/>
    <m/>
    <n v="210000"/>
    <m/>
    <n v="210000"/>
    <m/>
    <s v="TEGAR PUTRA YANSA SALES"/>
    <m/>
    <s v="N/A"/>
  </r>
  <r>
    <m/>
    <x v="29"/>
    <m/>
    <s v="MF-FP.25357"/>
    <m/>
    <s v="MF-ST.22704"/>
    <m/>
    <d v="2026-05-15T00:00:00"/>
    <m/>
    <s v="Member Reguler"/>
    <m/>
    <s v="C.02575"/>
    <m/>
    <s v="FAHMI ALI"/>
    <m/>
    <s v="HANIF"/>
    <m/>
    <s v="SERVICE HANDPHONE"/>
    <m/>
    <x v="1"/>
    <m/>
    <s v="EKO RISDIYANTORO JATIMULYA"/>
    <m/>
    <x v="2"/>
    <m/>
    <s v="Achmad Indrawanto"/>
    <m/>
    <s v="LCD"/>
    <m/>
    <s v="SAMSUNG"/>
    <m/>
    <s v="samsung a21s"/>
    <m/>
    <s v="100244"/>
    <m/>
    <s v="LCD.. SAM A21S A217 FST"/>
    <m/>
    <n v="105601.844931"/>
    <m/>
    <n v="1"/>
    <m/>
    <n v="165000"/>
    <m/>
    <n v="165000"/>
    <m/>
    <s v="TEGAR PUTRA YANSA SALES"/>
    <m/>
    <s v="N/A"/>
  </r>
  <r>
    <m/>
    <x v="29"/>
    <m/>
    <s v="MF-FP.25357"/>
    <m/>
    <s v="MF-ST.22704"/>
    <m/>
    <d v="2026-05-15T00:00:00"/>
    <m/>
    <s v="Member Reguler"/>
    <m/>
    <s v="C.02575"/>
    <m/>
    <s v="FAHMI ALI"/>
    <m/>
    <s v="HANIF"/>
    <m/>
    <s v="SERVICE HANDPHONE"/>
    <m/>
    <x v="2"/>
    <m/>
    <s v="EKO RISDIYANTORO JATIMULYA"/>
    <m/>
    <x v="2"/>
    <m/>
    <s v="Achmad Indrawanto"/>
    <m/>
    <s v="LCD"/>
    <m/>
    <s v="SAMSUNG"/>
    <m/>
    <s v="samsung a21s"/>
    <m/>
    <s v="100025"/>
    <m/>
    <s v="VIVAN HYDROGEL BASIC CRYSTAL CLEAR VSP01T"/>
    <m/>
    <n v="11151.582562"/>
    <m/>
    <n v="1"/>
    <m/>
    <n v="75000"/>
    <m/>
    <n v="75000"/>
    <m/>
    <s v="TEGAR PUTRA YANSA SALES"/>
    <m/>
    <s v="N/A"/>
  </r>
  <r>
    <m/>
    <x v="29"/>
    <m/>
    <s v="MF-FP.25358"/>
    <m/>
    <s v="MF-ST.22878"/>
    <m/>
    <d v="2026-05-23T00:00:00"/>
    <m/>
    <s v="Member Reguler"/>
    <m/>
    <s v="C.13407"/>
    <m/>
    <s v="RAFA"/>
    <m/>
    <s v="Achmad Indrawanto"/>
    <m/>
    <s v="PENJUALAN AKSESORIS"/>
    <m/>
    <x v="2"/>
    <m/>
    <s v="N/A"/>
    <m/>
    <x v="5"/>
    <m/>
    <s v="Achmad Indrawanto"/>
    <m/>
    <s v="N/A"/>
    <m/>
    <s v="BELUM ADA MERK"/>
    <m/>
    <s v="ANKER"/>
    <m/>
    <s v="107287"/>
    <m/>
    <s v="ANKER ZOLO CHARGER 30W 1C GAN A2698L11 BLACK"/>
    <m/>
    <n v="105000"/>
    <m/>
    <n v="1"/>
    <m/>
    <n v="160000"/>
    <m/>
    <n v="160000"/>
    <m/>
    <s v="Achmad Indrawanto"/>
    <m/>
    <s v="N/A"/>
  </r>
  <r>
    <m/>
    <x v="29"/>
    <m/>
    <s v="MF-FP.25361"/>
    <m/>
    <s v="MF-ST.22871"/>
    <m/>
    <d v="2026-05-23T00:00:00"/>
    <m/>
    <s v="Umum"/>
    <m/>
    <s v="C.13402"/>
    <m/>
    <s v="NYATA"/>
    <m/>
    <s v="HANIF"/>
    <m/>
    <s v="SERVICE LAPTOP"/>
    <m/>
    <x v="0"/>
    <m/>
    <s v="ARIFIN SANTOSO JATIMULYA"/>
    <m/>
    <x v="6"/>
    <m/>
    <s v="HANIF"/>
    <m/>
    <s v="SOFTWARE"/>
    <m/>
    <s v="LENOVO"/>
    <m/>
    <s v="Lenovo x270"/>
    <m/>
    <s v="JASA71"/>
    <m/>
    <s v="JASA REPAIR"/>
    <m/>
    <n v="0"/>
    <m/>
    <n v="1"/>
    <m/>
    <n v="230000"/>
    <m/>
    <n v="230000"/>
    <m/>
    <m/>
    <m/>
    <s v="N/A"/>
  </r>
  <r>
    <m/>
    <x v="29"/>
    <m/>
    <s v="MF-FP.25360"/>
    <m/>
    <s v="MF-ST.22869"/>
    <m/>
    <d v="2026-05-23T00:00:00"/>
    <m/>
    <s v="Umum"/>
    <m/>
    <s v="C.13401"/>
    <m/>
    <s v="RIZA DARUS"/>
    <m/>
    <s v="HANIF"/>
    <m/>
    <s v="SERVICE HANDPHONE"/>
    <m/>
    <x v="2"/>
    <m/>
    <s v="YUVI NOFERIANTO"/>
    <m/>
    <x v="4"/>
    <m/>
    <s v="HANIF"/>
    <m/>
    <s v="LCD"/>
    <m/>
    <s v="OPPO"/>
    <m/>
    <s v="Oppo a58"/>
    <m/>
    <s v="107200"/>
    <m/>
    <s v="LUNA DATA CABLE TYPE-C CB-2EC"/>
    <m/>
    <n v="9500"/>
    <m/>
    <n v="1"/>
    <m/>
    <n v="20000"/>
    <m/>
    <n v="20000"/>
    <m/>
    <m/>
    <m/>
    <s v="N/A"/>
  </r>
  <r>
    <m/>
    <x v="29"/>
    <m/>
    <s v="MF-FP.25361"/>
    <m/>
    <s v="MF-ST.22871"/>
    <m/>
    <d v="2026-05-23T00:00:00"/>
    <m/>
    <s v="Umum"/>
    <m/>
    <s v="C.13402"/>
    <m/>
    <s v="NYATA"/>
    <m/>
    <s v="HANIF"/>
    <m/>
    <s v="SERVICE LAPTOP"/>
    <m/>
    <x v="2"/>
    <m/>
    <s v="ARIFIN SANTOSO JATIMULYA"/>
    <m/>
    <x v="6"/>
    <m/>
    <s v="HANIF"/>
    <m/>
    <s v="SOFTWARE"/>
    <m/>
    <s v="LENOVO"/>
    <m/>
    <s v="Lenovo x270"/>
    <m/>
    <s v="107200"/>
    <m/>
    <s v="LUNA DATA CABLE TYPE-C CB-2EC"/>
    <m/>
    <n v="9500"/>
    <m/>
    <n v="1"/>
    <m/>
    <n v="20000"/>
    <m/>
    <n v="20000"/>
    <m/>
    <m/>
    <m/>
    <s v="N/A"/>
  </r>
  <r>
    <m/>
    <x v="29"/>
    <m/>
    <s v="MF-FP.25346"/>
    <m/>
    <s v="MF-ST.22865"/>
    <m/>
    <d v="2026-05-23T00:00:00"/>
    <m/>
    <s v="Umum"/>
    <m/>
    <s v="C.13398"/>
    <m/>
    <s v="ARDI"/>
    <m/>
    <s v="WAHYU PRATAMA"/>
    <m/>
    <s v="SERVICE HANDPHONE"/>
    <m/>
    <x v="1"/>
    <m/>
    <s v="MUSTOFA"/>
    <m/>
    <x v="4"/>
    <m/>
    <s v="WAHYU PRATAMA"/>
    <m/>
    <s v="BATERAI"/>
    <m/>
    <s v="INFINIX"/>
    <m/>
    <s v="HOT 12 PRO"/>
    <m/>
    <s v="105394"/>
    <m/>
    <s v="BATER INF HOT 7 LITE/HOT 11s NFC/HOT 12 PRO/NOTE 7 LITE/NOTE 10 BL49GX"/>
    <m/>
    <n v="104619.047619"/>
    <m/>
    <n v="1"/>
    <m/>
    <n v="160000"/>
    <m/>
    <n v="160000"/>
    <m/>
    <m/>
    <m/>
    <s v="N/A"/>
  </r>
  <r>
    <m/>
    <x v="29"/>
    <m/>
    <s v="MF-FP.25346"/>
    <m/>
    <s v="MF-ST.22865"/>
    <m/>
    <d v="2026-05-23T00:00:00"/>
    <m/>
    <s v="Umum"/>
    <m/>
    <s v="C.13398"/>
    <m/>
    <s v="ARDI"/>
    <m/>
    <s v="WAHYU PRATAMA"/>
    <m/>
    <s v="SERVICE HANDPHONE"/>
    <m/>
    <x v="2"/>
    <m/>
    <s v="MUSTOFA"/>
    <m/>
    <x v="4"/>
    <m/>
    <s v="WAHYU PRATAMA"/>
    <m/>
    <s v="BATERAI"/>
    <m/>
    <s v="INFINIX"/>
    <m/>
    <s v="HOT 12 PRO"/>
    <m/>
    <s v="107200"/>
    <m/>
    <s v="LUNA DATA CABLE TYPE-C CB-2EC"/>
    <m/>
    <n v="9500"/>
    <m/>
    <n v="1"/>
    <m/>
    <n v="10000"/>
    <m/>
    <n v="10000"/>
    <m/>
    <m/>
    <m/>
    <s v="N/A"/>
  </r>
  <r>
    <m/>
    <x v="29"/>
    <m/>
    <s v="MF-FP.25362"/>
    <m/>
    <s v="MF-ST.22747"/>
    <m/>
    <d v="2026-05-16T00:00:00"/>
    <m/>
    <s v="Member Reguler"/>
    <m/>
    <s v="C.03786"/>
    <m/>
    <s v="Indra"/>
    <m/>
    <s v="HANIF"/>
    <m/>
    <s v="SERVICE HANDPHONE"/>
    <m/>
    <x v="0"/>
    <m/>
    <s v="YUVI NOFERIANTO"/>
    <m/>
    <x v="4"/>
    <m/>
    <s v="HANIF"/>
    <m/>
    <s v="HARDWARE"/>
    <m/>
    <s v="OPPO"/>
    <m/>
    <s v="A95"/>
    <m/>
    <s v="JASA71"/>
    <m/>
    <s v="JASA REPAIR"/>
    <m/>
    <n v="0"/>
    <m/>
    <n v="1"/>
    <m/>
    <n v="100000"/>
    <m/>
    <n v="100000"/>
    <m/>
    <s v="CHANDRA PRADITYA GUNAWAN"/>
    <m/>
    <s v="N/A"/>
  </r>
  <r>
    <m/>
    <x v="29"/>
    <m/>
    <s v="MF-FP.25362"/>
    <m/>
    <s v="MF-ST.22747"/>
    <m/>
    <d v="2026-05-16T00:00:00"/>
    <m/>
    <s v="Member Reguler"/>
    <m/>
    <s v="C.03786"/>
    <m/>
    <s v="Indra"/>
    <m/>
    <s v="HANIF"/>
    <m/>
    <s v="SERVICE HANDPHONE"/>
    <m/>
    <x v="1"/>
    <m/>
    <s v="YUVI NOFERIANTO"/>
    <m/>
    <x v="4"/>
    <m/>
    <s v="HANIF"/>
    <m/>
    <s v="HARDWARE"/>
    <m/>
    <s v="OPPO"/>
    <m/>
    <s v="A95"/>
    <m/>
    <s v="105973"/>
    <m/>
    <s v="BATER OPP A74/A95 BLP851"/>
    <m/>
    <n v="139000"/>
    <m/>
    <n v="1"/>
    <m/>
    <n v="180000"/>
    <m/>
    <n v="180000"/>
    <m/>
    <s v="CHANDRA PRADITYA GUNAWAN"/>
    <m/>
    <s v="N/A"/>
  </r>
  <r>
    <m/>
    <x v="29"/>
    <m/>
    <s v="MF-FP.25362"/>
    <m/>
    <s v="MF-ST.22747"/>
    <m/>
    <d v="2026-05-16T00:00:00"/>
    <m/>
    <s v="Member Reguler"/>
    <m/>
    <s v="C.03786"/>
    <m/>
    <s v="Indra"/>
    <m/>
    <s v="HANIF"/>
    <m/>
    <s v="SERVICE HANDPHONE"/>
    <m/>
    <x v="2"/>
    <m/>
    <s v="YUVI NOFERIANTO"/>
    <m/>
    <x v="4"/>
    <m/>
    <s v="HANIF"/>
    <m/>
    <s v="HARDWARE"/>
    <m/>
    <s v="OPPO"/>
    <m/>
    <s v="A95"/>
    <m/>
    <s v="107200"/>
    <m/>
    <s v="LUNA DATA CABLE TYPE-C CB-2EC"/>
    <m/>
    <n v="9500"/>
    <m/>
    <n v="1"/>
    <m/>
    <n v="20000"/>
    <m/>
    <n v="20000"/>
    <m/>
    <s v="CHANDRA PRADITYA GUNAWAN"/>
    <m/>
    <s v="N/A"/>
  </r>
  <r>
    <m/>
    <x v="29"/>
    <m/>
    <s v="MF-FP.25363"/>
    <m/>
    <s v="MF-ST.22880"/>
    <m/>
    <d v="2026-05-23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AKRB-055"/>
    <m/>
    <s v="REBORN ADAPTOR CHARGER USB TYPE C BLACK RB-C5"/>
    <m/>
    <n v="44000"/>
    <m/>
    <n v="1"/>
    <m/>
    <n v="65000"/>
    <m/>
    <n v="65000"/>
    <m/>
    <m/>
    <m/>
    <s v="N/A"/>
  </r>
  <r>
    <m/>
    <x v="29"/>
    <m/>
    <s v="MF-FP.25363"/>
    <m/>
    <s v="MF-ST.22880"/>
    <m/>
    <d v="2026-05-23T00:00:00"/>
    <m/>
    <s v="Umum"/>
    <m/>
    <s v="C.00000"/>
    <m/>
    <s v="Pelanggan Umum"/>
    <m/>
    <s v="HANIF"/>
    <m/>
    <s v="PENJUALAN AKSESORIS"/>
    <m/>
    <x v="2"/>
    <m/>
    <s v="N/A"/>
    <m/>
    <x v="5"/>
    <m/>
    <s v="HANIF"/>
    <m/>
    <s v="N/A"/>
    <m/>
    <s v="BELUM ADA MERK"/>
    <m/>
    <s v="N/A"/>
    <m/>
    <s v="107218"/>
    <m/>
    <s v="VIVAN DATA CABLE VBUSM COLOURFULL TOPLES"/>
    <m/>
    <n v="12300"/>
    <m/>
    <n v="1"/>
    <m/>
    <n v="20000"/>
    <m/>
    <n v="20000"/>
    <m/>
    <m/>
    <m/>
    <s v="N/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824E8E-20FA-4468-B922-D7A310F4BD1C}" name="PivotTable9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6:B9" firstHeaderRow="1" firstDataRow="1" firstDataCol="1" rowPageCount="2" colPageCount="1"/>
  <pivotFields count="48">
    <pivotField showAll="0"/>
    <pivotField axis="axisPage" numFmtId="169" multipleItemSelectionAllowed="1" showAll="0">
      <items count="31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8">
        <item x="2"/>
        <item x="3"/>
        <item x="0"/>
        <item x="5"/>
        <item x="4"/>
        <item x="1"/>
        <item x="6"/>
        <item t="default"/>
      </items>
    </pivotField>
    <pivotField showAll="0"/>
    <pivotField showAll="0"/>
    <pivotField showAll="0"/>
    <pivotField axis="axisRow" showAll="0">
      <items count="10">
        <item x="3"/>
        <item h="1" x="7"/>
        <item h="1" x="0"/>
        <item h="1" x="6"/>
        <item h="1" x="8"/>
        <item x="2"/>
        <item h="1" x="1"/>
        <item h="1" x="5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0" showAll="0"/>
    <pivotField showAll="0"/>
    <pivotField numFmtId="170" showAll="0"/>
    <pivotField showAll="0"/>
    <pivotField numFmtId="170" showAll="0"/>
    <pivotField showAll="0"/>
    <pivotField dataField="1" numFmtId="170" showAll="0"/>
    <pivotField showAll="0"/>
    <pivotField showAll="0"/>
    <pivotField showAll="0"/>
    <pivotField showAll="0"/>
  </pivotFields>
  <rowFields count="1">
    <field x="23"/>
  </rowFields>
  <rowItems count="3">
    <i>
      <x/>
    </i>
    <i>
      <x v="5"/>
    </i>
    <i t="grand">
      <x/>
    </i>
  </rowItems>
  <colItems count="1">
    <i/>
  </colItems>
  <pageFields count="2">
    <pageField fld="19" item="2" hier="-1"/>
    <pageField fld="1" hier="-1"/>
  </pageFields>
  <dataFields count="1">
    <dataField name="Sum of TOTAL HARGA" fld="43" baseField="0" baseItem="0" numFmtId="172"/>
  </dataFields>
  <formats count="1">
    <format dxfId="2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FAF505-D9FC-4EA1-830E-5FD318966837}" name="PivotTable7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A15:B21" firstHeaderRow="1" firstDataRow="1" firstDataCol="1" rowPageCount="2" colPageCount="1"/>
  <pivotFields count="48">
    <pivotField showAll="0"/>
    <pivotField axis="axisPage" numFmtId="169" multipleItemSelectionAllowe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8">
        <item x="2"/>
        <item x="3"/>
        <item x="0"/>
        <item x="5"/>
        <item x="4"/>
        <item x="1"/>
        <item x="6"/>
        <item t="default"/>
      </items>
    </pivotField>
    <pivotField showAll="0"/>
    <pivotField showAll="0"/>
    <pivotField showAll="0"/>
    <pivotField axis="axisRow" showAll="0">
      <items count="10">
        <item h="1" x="3"/>
        <item x="7"/>
        <item x="0"/>
        <item x="6"/>
        <item x="8"/>
        <item h="1" x="2"/>
        <item x="1"/>
        <item h="1" x="5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0" showAll="0"/>
    <pivotField showAll="0"/>
    <pivotField numFmtId="170" showAll="0"/>
    <pivotField showAll="0"/>
    <pivotField numFmtId="170" showAll="0"/>
    <pivotField showAll="0"/>
    <pivotField dataField="1" numFmtId="170" showAll="0"/>
    <pivotField showAll="0"/>
    <pivotField showAll="0"/>
    <pivotField showAll="0"/>
    <pivotField showAll="0"/>
  </pivotFields>
  <rowFields count="1">
    <field x="23"/>
  </rowFields>
  <rowItems count="6">
    <i>
      <x v="2"/>
    </i>
    <i>
      <x v="3"/>
    </i>
    <i>
      <x v="4"/>
    </i>
    <i>
      <x v="6"/>
    </i>
    <i>
      <x v="8"/>
    </i>
    <i t="grand">
      <x/>
    </i>
  </rowItems>
  <colItems count="1">
    <i/>
  </colItems>
  <pageFields count="2">
    <pageField fld="19" item="2" hier="-1"/>
    <pageField fld="1" hier="-1"/>
  </pageFields>
  <dataFields count="1">
    <dataField name="Sum of TOTAL HARGA" fld="43" baseField="0" baseItem="0" numFmtId="172"/>
  </dataFields>
  <formats count="1">
    <format dxfId="3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7241DE-DDB2-4E92-9FF1-D1AD6F5F6399}" name="PivotTable10" cacheId="7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>
  <location ref="D6:E9" firstHeaderRow="1" firstDataRow="1" firstDataCol="1" rowPageCount="2" colPageCount="1"/>
  <pivotFields count="48">
    <pivotField showAll="0"/>
    <pivotField axis="axisPage" numFmtId="169" multipleItemSelectionAllowed="1" showAl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8">
        <item x="2"/>
        <item x="3"/>
        <item x="0"/>
        <item x="5"/>
        <item x="4"/>
        <item x="1"/>
        <item x="6"/>
        <item t="default"/>
      </items>
    </pivotField>
    <pivotField showAll="0"/>
    <pivotField showAll="0"/>
    <pivotField showAll="0"/>
    <pivotField axis="axisRow" showAll="0">
      <items count="10">
        <item x="3"/>
        <item h="1" x="7"/>
        <item h="1" x="0"/>
        <item h="1" x="6"/>
        <item h="1" x="8"/>
        <item x="2"/>
        <item h="1" x="1"/>
        <item h="1" x="5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170" showAll="0"/>
    <pivotField showAll="0"/>
    <pivotField numFmtId="170" showAll="0"/>
    <pivotField showAll="0"/>
    <pivotField numFmtId="170" showAll="0"/>
    <pivotField showAll="0"/>
    <pivotField dataField="1" numFmtId="170" showAll="0"/>
    <pivotField showAll="0"/>
    <pivotField showAll="0"/>
    <pivotField showAll="0"/>
    <pivotField showAll="0"/>
  </pivotFields>
  <rowFields count="1">
    <field x="23"/>
  </rowFields>
  <rowItems count="3">
    <i>
      <x/>
    </i>
    <i>
      <x v="5"/>
    </i>
    <i t="grand">
      <x/>
    </i>
  </rowItems>
  <colItems count="1">
    <i/>
  </colItems>
  <pageFields count="2">
    <pageField fld="19" item="2" hier="-1"/>
    <pageField fld="1" hier="-1"/>
  </pageFields>
  <dataFields count="1">
    <dataField name="Sum of TOTAL HARGA" fld="43" baseField="0" baseItem="0" numFmtId="172"/>
  </dataFields>
  <formats count="1">
    <format dxfId="4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FDD2-AABD-41B2-86CC-14253F70380B}">
  <dimension ref="A1:E21"/>
  <sheetViews>
    <sheetView workbookViewId="0">
      <selection activeCell="G15" sqref="G15"/>
    </sheetView>
  </sheetViews>
  <sheetFormatPr defaultRowHeight="15"/>
  <cols>
    <col min="1" max="1" width="26.7109375" bestFit="1" customWidth="1"/>
    <col min="2" max="2" width="20.28515625" bestFit="1" customWidth="1"/>
    <col min="4" max="4" width="29" bestFit="1" customWidth="1"/>
    <col min="5" max="5" width="20.28515625" bestFit="1" customWidth="1"/>
  </cols>
  <sheetData>
    <row r="1" spans="1:5">
      <c r="A1" s="79" t="s">
        <v>66</v>
      </c>
      <c r="B1" s="79"/>
      <c r="C1" s="79"/>
      <c r="D1" s="79"/>
      <c r="E1" s="79"/>
    </row>
    <row r="2" spans="1:5">
      <c r="A2" s="53" t="s">
        <v>65</v>
      </c>
      <c r="B2" s="52" t="s">
        <v>62</v>
      </c>
      <c r="D2" s="52" t="s">
        <v>64</v>
      </c>
      <c r="E2" s="52" t="s">
        <v>61</v>
      </c>
    </row>
    <row r="3" spans="1:5">
      <c r="A3" s="49" t="s">
        <v>48</v>
      </c>
      <c r="B3" t="s">
        <v>49</v>
      </c>
      <c r="D3" s="49" t="s">
        <v>48</v>
      </c>
      <c r="E3" t="s">
        <v>49</v>
      </c>
    </row>
    <row r="4" spans="1:5">
      <c r="A4" s="49" t="s">
        <v>47</v>
      </c>
      <c r="B4" t="s">
        <v>60</v>
      </c>
      <c r="D4" s="49" t="s">
        <v>47</v>
      </c>
      <c r="E4" t="s">
        <v>60</v>
      </c>
    </row>
    <row r="6" spans="1:5">
      <c r="A6" s="49" t="s">
        <v>56</v>
      </c>
      <c r="B6" t="s">
        <v>58</v>
      </c>
      <c r="D6" s="49" t="s">
        <v>56</v>
      </c>
      <c r="E6" t="s">
        <v>58</v>
      </c>
    </row>
    <row r="7" spans="1:5">
      <c r="A7" s="50" t="s">
        <v>45</v>
      </c>
      <c r="B7" s="54">
        <v>18425000</v>
      </c>
      <c r="D7" s="50" t="s">
        <v>45</v>
      </c>
      <c r="E7" s="54">
        <v>15345000</v>
      </c>
    </row>
    <row r="8" spans="1:5">
      <c r="A8" s="50" t="s">
        <v>50</v>
      </c>
      <c r="B8" s="54">
        <v>27655425</v>
      </c>
      <c r="D8" s="50" t="s">
        <v>50</v>
      </c>
      <c r="E8" s="54">
        <v>9822000</v>
      </c>
    </row>
    <row r="9" spans="1:5">
      <c r="A9" s="50" t="s">
        <v>57</v>
      </c>
      <c r="B9" s="54">
        <v>46080425</v>
      </c>
      <c r="D9" s="50" t="s">
        <v>57</v>
      </c>
      <c r="E9" s="54">
        <v>25167000</v>
      </c>
    </row>
    <row r="10" spans="1:5">
      <c r="A10" s="50"/>
      <c r="D10" s="50"/>
    </row>
    <row r="11" spans="1:5">
      <c r="A11" s="53" t="s">
        <v>65</v>
      </c>
      <c r="B11" s="52" t="s">
        <v>63</v>
      </c>
    </row>
    <row r="12" spans="1:5">
      <c r="A12" s="49" t="s">
        <v>48</v>
      </c>
      <c r="B12" t="s">
        <v>49</v>
      </c>
    </row>
    <row r="13" spans="1:5">
      <c r="A13" s="49" t="s">
        <v>47</v>
      </c>
      <c r="B13" t="s">
        <v>59</v>
      </c>
    </row>
    <row r="15" spans="1:5">
      <c r="A15" s="49" t="s">
        <v>56</v>
      </c>
      <c r="B15" t="s">
        <v>58</v>
      </c>
    </row>
    <row r="16" spans="1:5">
      <c r="A16" s="50" t="s">
        <v>52</v>
      </c>
      <c r="B16" s="54">
        <v>16474000</v>
      </c>
    </row>
    <row r="17" spans="1:2">
      <c r="A17" s="50" t="s">
        <v>51</v>
      </c>
      <c r="B17" s="54">
        <v>26552000</v>
      </c>
    </row>
    <row r="18" spans="1:2">
      <c r="A18" s="50" t="s">
        <v>55</v>
      </c>
      <c r="B18" s="54">
        <v>1139000</v>
      </c>
    </row>
    <row r="19" spans="1:2">
      <c r="A19" s="50" t="s">
        <v>53</v>
      </c>
      <c r="B19" s="54">
        <v>15200000</v>
      </c>
    </row>
    <row r="20" spans="1:2">
      <c r="A20" s="50" t="s">
        <v>46</v>
      </c>
      <c r="B20" s="54">
        <v>19835045</v>
      </c>
    </row>
    <row r="21" spans="1:2">
      <c r="A21" s="50" t="s">
        <v>57</v>
      </c>
      <c r="B21" s="54">
        <v>79200045</v>
      </c>
    </row>
  </sheetData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A0FC5D-C99B-4366-885E-56C8D05AE707}">
  <dimension ref="A1:AH14"/>
  <sheetViews>
    <sheetView zoomScaleNormal="100" workbookViewId="0">
      <pane xSplit="1" topLeftCell="L1" activePane="topRight" state="frozen"/>
      <selection activeCell="J15" sqref="J15"/>
      <selection pane="topRight" activeCell="J6" sqref="J6"/>
    </sheetView>
  </sheetViews>
  <sheetFormatPr defaultRowHeight="15"/>
  <cols>
    <col min="1" max="1" width="28" style="55" customWidth="1"/>
    <col min="2" max="2" width="11" style="55" customWidth="1"/>
    <col min="3" max="3" width="10" style="55" customWidth="1"/>
    <col min="4" max="4" width="17" style="55" customWidth="1"/>
    <col min="5" max="5" width="14" style="55" customWidth="1"/>
    <col min="6" max="6" width="18" style="55" customWidth="1"/>
    <col min="7" max="7" width="13" style="55" customWidth="1"/>
    <col min="8" max="8" width="15" style="55" customWidth="1"/>
    <col min="9" max="10" width="20" style="55" customWidth="1"/>
    <col min="11" max="11" width="22" style="55" customWidth="1"/>
    <col min="12" max="12" width="20.140625" style="55" bestFit="1" customWidth="1"/>
    <col min="13" max="13" width="23" style="55" customWidth="1"/>
    <col min="14" max="14" width="18" style="55" customWidth="1"/>
    <col min="15" max="15" width="20" style="55" customWidth="1"/>
    <col min="16" max="16" width="21" style="55" customWidth="1"/>
    <col min="17" max="17" width="16" style="55" customWidth="1"/>
    <col min="18" max="18" width="12" style="55" customWidth="1"/>
    <col min="19" max="19" width="11" style="55" customWidth="1"/>
    <col min="20" max="20" width="17" style="55" customWidth="1"/>
    <col min="21" max="21" width="13" style="55" customWidth="1"/>
    <col min="22" max="22" width="17" style="55" customWidth="1"/>
    <col min="23" max="23" width="15" style="55" customWidth="1"/>
    <col min="24" max="24" width="22" style="55" customWidth="1"/>
    <col min="25" max="25" width="27" style="55" customWidth="1"/>
    <col min="26" max="26" width="28" style="55" customWidth="1"/>
    <col min="27" max="29" width="16" style="55" customWidth="1"/>
    <col min="30" max="30" width="14" style="55" customWidth="1"/>
    <col min="31" max="31" width="17" style="55" customWidth="1"/>
    <col min="32" max="32" width="26" style="55" customWidth="1"/>
    <col min="33" max="33" width="18" style="55" customWidth="1"/>
    <col min="34" max="34" width="24" style="55" customWidth="1"/>
    <col min="35" max="16384" width="9.140625" style="55"/>
  </cols>
  <sheetData>
    <row r="1" spans="1:34" ht="17.25">
      <c r="A1" s="74" t="s">
        <v>95</v>
      </c>
    </row>
    <row r="2" spans="1:34">
      <c r="A2" s="73" t="s">
        <v>94</v>
      </c>
      <c r="L2" s="72" t="s">
        <v>93</v>
      </c>
      <c r="M2" s="72" t="s">
        <v>92</v>
      </c>
    </row>
    <row r="3" spans="1:34">
      <c r="J3" s="71">
        <v>0.02</v>
      </c>
      <c r="K3" s="71">
        <v>0.2</v>
      </c>
      <c r="L3" s="71">
        <v>0.3</v>
      </c>
      <c r="M3" s="71">
        <v>0.32</v>
      </c>
      <c r="N3" s="71">
        <v>0.6</v>
      </c>
      <c r="O3" s="71">
        <v>0.3</v>
      </c>
      <c r="T3" s="71"/>
    </row>
    <row r="4" spans="1:34" ht="15.75" thickBot="1">
      <c r="A4" s="69" t="s">
        <v>0</v>
      </c>
      <c r="B4" s="69" t="s">
        <v>91</v>
      </c>
      <c r="C4" s="69" t="s">
        <v>90</v>
      </c>
      <c r="D4" s="69" t="s">
        <v>89</v>
      </c>
      <c r="E4" s="69" t="s">
        <v>88</v>
      </c>
      <c r="F4" s="69" t="s">
        <v>87</v>
      </c>
      <c r="G4" s="69" t="s">
        <v>86</v>
      </c>
      <c r="H4" s="69" t="s">
        <v>85</v>
      </c>
      <c r="I4" s="69" t="s">
        <v>84</v>
      </c>
      <c r="J4" s="70" t="s">
        <v>97</v>
      </c>
      <c r="K4" s="70" t="s">
        <v>83</v>
      </c>
      <c r="L4" s="70" t="s">
        <v>82</v>
      </c>
      <c r="M4" s="70" t="s">
        <v>81</v>
      </c>
      <c r="N4" s="70" t="s">
        <v>80</v>
      </c>
      <c r="O4" s="70" t="s">
        <v>79</v>
      </c>
      <c r="P4" s="70" t="s">
        <v>78</v>
      </c>
      <c r="Q4" s="69" t="s">
        <v>77</v>
      </c>
      <c r="R4" s="69" t="s">
        <v>76</v>
      </c>
      <c r="S4" s="69" t="s">
        <v>75</v>
      </c>
      <c r="T4" s="68" t="s">
        <v>73</v>
      </c>
      <c r="U4" s="68" t="s">
        <v>44</v>
      </c>
      <c r="V4" s="68" t="s">
        <v>1</v>
      </c>
      <c r="W4" s="68" t="s">
        <v>2</v>
      </c>
      <c r="X4" s="68" t="s">
        <v>3</v>
      </c>
      <c r="Y4" s="68" t="s">
        <v>54</v>
      </c>
      <c r="Z4" s="68" t="s">
        <v>70</v>
      </c>
      <c r="AA4" s="68" t="s">
        <v>69</v>
      </c>
      <c r="AB4" s="68" t="s">
        <v>68</v>
      </c>
      <c r="AC4" s="77" t="s">
        <v>67</v>
      </c>
      <c r="AD4" s="67" t="s">
        <v>40</v>
      </c>
      <c r="AE4" s="67" t="s">
        <v>4</v>
      </c>
      <c r="AF4" s="68" t="s">
        <v>5</v>
      </c>
      <c r="AG4" s="68" t="s">
        <v>6</v>
      </c>
      <c r="AH4" s="67" t="s">
        <v>7</v>
      </c>
    </row>
    <row r="5" spans="1:34">
      <c r="A5" s="62" t="s">
        <v>45</v>
      </c>
      <c r="B5" s="62" t="s">
        <v>39</v>
      </c>
      <c r="C5" s="59">
        <v>69</v>
      </c>
      <c r="D5" s="59">
        <v>14844000</v>
      </c>
      <c r="E5" s="59">
        <v>21284000</v>
      </c>
      <c r="F5" s="59">
        <v>3922000</v>
      </c>
      <c r="G5" s="59">
        <v>0</v>
      </c>
      <c r="H5" s="59">
        <v>350000</v>
      </c>
      <c r="I5" s="59">
        <v>40400000</v>
      </c>
      <c r="J5" s="59" t="e">
        <f>#REF!*$J$3</f>
        <v>#REF!</v>
      </c>
      <c r="K5" s="59">
        <f t="shared" ref="K5:K12" si="0">D5*$K$3</f>
        <v>2968800</v>
      </c>
      <c r="L5" s="59">
        <f>E5*$L$3</f>
        <v>6385200</v>
      </c>
      <c r="M5" s="59">
        <f>F5*$M$3</f>
        <v>1255040</v>
      </c>
      <c r="N5" s="59">
        <f t="shared" ref="N5:N12" si="1">G5*$N$3</f>
        <v>0</v>
      </c>
      <c r="O5" s="59">
        <f t="shared" ref="O5:O12" si="2">H5*$O$3</f>
        <v>105000</v>
      </c>
      <c r="P5" s="59" t="e">
        <f>SUM(J5:O5)</f>
        <v>#REF!</v>
      </c>
      <c r="Q5" s="59">
        <f t="shared" ref="Q5:Q12" si="3">I5*30%</f>
        <v>12120000</v>
      </c>
      <c r="R5" s="59" t="e">
        <f t="shared" ref="R5:R12" si="4">P5-Q5</f>
        <v>#REF!</v>
      </c>
      <c r="S5" s="61">
        <v>26.5</v>
      </c>
      <c r="T5" s="60"/>
      <c r="U5" s="60"/>
      <c r="V5" s="60"/>
      <c r="W5" s="60"/>
      <c r="X5" s="60"/>
      <c r="Y5" s="60"/>
      <c r="Z5" s="60"/>
      <c r="AA5" s="60"/>
      <c r="AB5" s="60">
        <v>100000</v>
      </c>
      <c r="AC5" s="59">
        <f t="shared" ref="AC5:AC12" si="5">SUM(T5:AB5)</f>
        <v>100000</v>
      </c>
      <c r="AD5" s="59">
        <v>0</v>
      </c>
      <c r="AE5" s="59" t="e">
        <f t="shared" ref="AE5:AE12" si="6">P5-AC5</f>
        <v>#REF!</v>
      </c>
      <c r="AF5" s="60"/>
      <c r="AG5" s="60"/>
      <c r="AH5" s="59">
        <f t="shared" ref="AH5:AH12" si="7">AF5+AG5</f>
        <v>0</v>
      </c>
    </row>
    <row r="6" spans="1:34">
      <c r="A6" s="65" t="s">
        <v>50</v>
      </c>
      <c r="B6" s="65" t="s">
        <v>39</v>
      </c>
      <c r="C6" s="63">
        <v>149</v>
      </c>
      <c r="D6" s="63">
        <v>9963500</v>
      </c>
      <c r="E6" s="63">
        <v>10939000</v>
      </c>
      <c r="F6" s="63">
        <v>5469000</v>
      </c>
      <c r="G6" s="63">
        <v>0</v>
      </c>
      <c r="H6" s="63">
        <v>7752000</v>
      </c>
      <c r="I6" s="63">
        <v>34123500</v>
      </c>
      <c r="J6" s="59" t="e">
        <f>#REF!*$J$3</f>
        <v>#REF!</v>
      </c>
      <c r="K6" s="59">
        <f t="shared" si="0"/>
        <v>1992700</v>
      </c>
      <c r="L6" s="66">
        <f>E6*35.5%</f>
        <v>3883345</v>
      </c>
      <c r="M6" s="66">
        <f>F6*37.5%</f>
        <v>2050875</v>
      </c>
      <c r="N6" s="59">
        <f t="shared" si="1"/>
        <v>0</v>
      </c>
      <c r="O6" s="59">
        <f t="shared" si="2"/>
        <v>2325600</v>
      </c>
      <c r="P6" s="59" t="e">
        <f t="shared" ref="P6:P12" si="8">SUM(J6:O6)</f>
        <v>#REF!</v>
      </c>
      <c r="Q6" s="59">
        <f t="shared" si="3"/>
        <v>10237050</v>
      </c>
      <c r="R6" s="59" t="e">
        <f t="shared" si="4"/>
        <v>#REF!</v>
      </c>
      <c r="S6" s="64">
        <v>30</v>
      </c>
      <c r="T6" s="60"/>
      <c r="U6" s="60"/>
      <c r="V6" s="60">
        <v>343805</v>
      </c>
      <c r="W6" s="60"/>
      <c r="X6" s="60"/>
      <c r="Y6" s="60"/>
      <c r="Z6" s="60"/>
      <c r="AA6" s="60"/>
      <c r="AB6" s="60">
        <v>100000</v>
      </c>
      <c r="AC6" s="63">
        <f t="shared" si="5"/>
        <v>443805</v>
      </c>
      <c r="AD6" s="59">
        <v>0</v>
      </c>
      <c r="AE6" s="59" t="e">
        <f t="shared" si="6"/>
        <v>#REF!</v>
      </c>
      <c r="AF6" s="60"/>
      <c r="AG6" s="60"/>
      <c r="AH6" s="63">
        <f t="shared" si="7"/>
        <v>0</v>
      </c>
    </row>
    <row r="7" spans="1:34">
      <c r="A7" s="62" t="s">
        <v>71</v>
      </c>
      <c r="B7" s="62" t="s">
        <v>39</v>
      </c>
      <c r="C7" s="59">
        <v>89</v>
      </c>
      <c r="D7" s="59">
        <v>13257000</v>
      </c>
      <c r="E7" s="59">
        <v>8620000</v>
      </c>
      <c r="F7" s="59">
        <v>9462000</v>
      </c>
      <c r="G7" s="59">
        <v>0</v>
      </c>
      <c r="H7" s="59">
        <v>0</v>
      </c>
      <c r="I7" s="59">
        <v>31339000</v>
      </c>
      <c r="J7" s="59" t="e">
        <f>#REF!*$J$3</f>
        <v>#REF!</v>
      </c>
      <c r="K7" s="59">
        <f t="shared" si="0"/>
        <v>2651400</v>
      </c>
      <c r="L7" s="59">
        <f t="shared" ref="L7:L12" si="9">E7*$L$3</f>
        <v>2586000</v>
      </c>
      <c r="M7" s="59">
        <f t="shared" ref="M7:M12" si="10">F7*$M$3</f>
        <v>3027840</v>
      </c>
      <c r="N7" s="59">
        <f t="shared" si="1"/>
        <v>0</v>
      </c>
      <c r="O7" s="59">
        <f t="shared" si="2"/>
        <v>0</v>
      </c>
      <c r="P7" s="59" t="e">
        <f t="shared" si="8"/>
        <v>#REF!</v>
      </c>
      <c r="Q7" s="59">
        <f t="shared" si="3"/>
        <v>9401700</v>
      </c>
      <c r="R7" s="59" t="e">
        <f t="shared" si="4"/>
        <v>#REF!</v>
      </c>
      <c r="S7" s="61">
        <v>26.4</v>
      </c>
      <c r="T7" s="60">
        <f>281000*30%</f>
        <v>84300</v>
      </c>
      <c r="U7" s="60"/>
      <c r="V7" s="60"/>
      <c r="W7" s="60"/>
      <c r="X7" s="60"/>
      <c r="Y7" s="60"/>
      <c r="Z7" s="60"/>
      <c r="AA7" s="60"/>
      <c r="AB7" s="60">
        <v>100000</v>
      </c>
      <c r="AC7" s="59">
        <f t="shared" si="5"/>
        <v>184300</v>
      </c>
      <c r="AD7" s="59">
        <v>0</v>
      </c>
      <c r="AE7" s="59" t="e">
        <f t="shared" si="6"/>
        <v>#REF!</v>
      </c>
      <c r="AF7" s="60"/>
      <c r="AG7" s="60"/>
      <c r="AH7" s="59">
        <f t="shared" si="7"/>
        <v>0</v>
      </c>
    </row>
    <row r="8" spans="1:34">
      <c r="A8" s="65" t="s">
        <v>51</v>
      </c>
      <c r="B8" s="65" t="s">
        <v>39</v>
      </c>
      <c r="C8" s="63">
        <v>56</v>
      </c>
      <c r="D8" s="63">
        <v>11493000</v>
      </c>
      <c r="E8" s="63">
        <v>10488000</v>
      </c>
      <c r="F8" s="63">
        <v>1331000</v>
      </c>
      <c r="G8" s="63">
        <v>0</v>
      </c>
      <c r="H8" s="63">
        <v>0</v>
      </c>
      <c r="I8" s="63">
        <v>23312000</v>
      </c>
      <c r="J8" s="59" t="e">
        <f>#REF!*$J$3</f>
        <v>#REF!</v>
      </c>
      <c r="K8" s="59">
        <f t="shared" si="0"/>
        <v>2298600</v>
      </c>
      <c r="L8" s="59">
        <f t="shared" si="9"/>
        <v>3146400</v>
      </c>
      <c r="M8" s="59">
        <f t="shared" si="10"/>
        <v>425920</v>
      </c>
      <c r="N8" s="59">
        <f t="shared" si="1"/>
        <v>0</v>
      </c>
      <c r="O8" s="59">
        <f t="shared" si="2"/>
        <v>0</v>
      </c>
      <c r="P8" s="59" t="e">
        <f t="shared" si="8"/>
        <v>#REF!</v>
      </c>
      <c r="Q8" s="59">
        <f t="shared" si="3"/>
        <v>6993600</v>
      </c>
      <c r="R8" s="59" t="e">
        <f t="shared" si="4"/>
        <v>#REF!</v>
      </c>
      <c r="S8" s="64">
        <v>25.2</v>
      </c>
      <c r="T8" s="60">
        <f>200000*30%</f>
        <v>60000</v>
      </c>
      <c r="U8" s="60"/>
      <c r="V8" s="60"/>
      <c r="W8" s="60"/>
      <c r="X8" s="60"/>
      <c r="Y8" s="60"/>
      <c r="Z8" s="60"/>
      <c r="AA8" s="60"/>
      <c r="AB8" s="60">
        <v>100000</v>
      </c>
      <c r="AC8" s="63">
        <f t="shared" si="5"/>
        <v>160000</v>
      </c>
      <c r="AD8" s="59">
        <v>0</v>
      </c>
      <c r="AE8" s="59" t="e">
        <f t="shared" si="6"/>
        <v>#REF!</v>
      </c>
      <c r="AF8" s="60">
        <f>I8*5%</f>
        <v>1165600</v>
      </c>
      <c r="AG8" s="60">
        <v>51560605.149999999</v>
      </c>
      <c r="AH8" s="63">
        <f t="shared" si="7"/>
        <v>52726205.149999999</v>
      </c>
    </row>
    <row r="9" spans="1:34">
      <c r="A9" s="62" t="s">
        <v>74</v>
      </c>
      <c r="B9" s="62" t="s">
        <v>39</v>
      </c>
      <c r="C9" s="59">
        <v>115</v>
      </c>
      <c r="D9" s="59">
        <v>13636000</v>
      </c>
      <c r="E9" s="59">
        <v>4399000</v>
      </c>
      <c r="F9" s="59">
        <v>0</v>
      </c>
      <c r="G9" s="59">
        <v>0</v>
      </c>
      <c r="H9" s="59">
        <v>731000</v>
      </c>
      <c r="I9" s="59">
        <v>18766000</v>
      </c>
      <c r="J9" s="59">
        <v>0</v>
      </c>
      <c r="K9" s="59">
        <f t="shared" si="0"/>
        <v>2727200</v>
      </c>
      <c r="L9" s="59">
        <f t="shared" si="9"/>
        <v>1319700</v>
      </c>
      <c r="M9" s="59">
        <f t="shared" si="10"/>
        <v>0</v>
      </c>
      <c r="N9" s="59">
        <f t="shared" si="1"/>
        <v>0</v>
      </c>
      <c r="O9" s="59">
        <f t="shared" si="2"/>
        <v>219300</v>
      </c>
      <c r="P9" s="59">
        <f t="shared" si="8"/>
        <v>4266200</v>
      </c>
      <c r="Q9" s="59">
        <f t="shared" si="3"/>
        <v>5629800</v>
      </c>
      <c r="R9" s="59">
        <f t="shared" si="4"/>
        <v>-1363600</v>
      </c>
      <c r="S9" s="61">
        <v>22.7</v>
      </c>
      <c r="T9" s="60">
        <f>135000*20%</f>
        <v>27000</v>
      </c>
      <c r="U9" s="60"/>
      <c r="V9" s="60"/>
      <c r="W9" s="60"/>
      <c r="X9" s="60"/>
      <c r="Y9" s="60"/>
      <c r="Z9" s="60">
        <v>30000</v>
      </c>
      <c r="AA9" s="60">
        <v>100000</v>
      </c>
      <c r="AB9" s="60"/>
      <c r="AC9" s="59">
        <f t="shared" si="5"/>
        <v>157000</v>
      </c>
      <c r="AD9" s="59">
        <v>0</v>
      </c>
      <c r="AE9" s="59">
        <f t="shared" si="6"/>
        <v>4109200</v>
      </c>
      <c r="AF9" s="60"/>
      <c r="AG9" s="60"/>
      <c r="AH9" s="59">
        <f t="shared" si="7"/>
        <v>0</v>
      </c>
    </row>
    <row r="10" spans="1:34">
      <c r="A10" s="65" t="s">
        <v>52</v>
      </c>
      <c r="B10" s="65" t="s">
        <v>39</v>
      </c>
      <c r="C10" s="63">
        <v>102</v>
      </c>
      <c r="D10" s="63">
        <v>9935750</v>
      </c>
      <c r="E10" s="63">
        <v>6455500</v>
      </c>
      <c r="F10" s="63">
        <v>135000</v>
      </c>
      <c r="G10" s="63">
        <v>0</v>
      </c>
      <c r="H10" s="63">
        <v>625000</v>
      </c>
      <c r="I10" s="63">
        <v>17151250</v>
      </c>
      <c r="J10" s="63">
        <v>0</v>
      </c>
      <c r="K10" s="59">
        <f t="shared" si="0"/>
        <v>1987150</v>
      </c>
      <c r="L10" s="59">
        <f t="shared" si="9"/>
        <v>1936650</v>
      </c>
      <c r="M10" s="59">
        <f t="shared" si="10"/>
        <v>43200</v>
      </c>
      <c r="N10" s="59">
        <f t="shared" si="1"/>
        <v>0</v>
      </c>
      <c r="O10" s="59">
        <f t="shared" si="2"/>
        <v>187500</v>
      </c>
      <c r="P10" s="59">
        <f t="shared" si="8"/>
        <v>4154500</v>
      </c>
      <c r="Q10" s="59">
        <f t="shared" si="3"/>
        <v>5145375</v>
      </c>
      <c r="R10" s="59">
        <f t="shared" si="4"/>
        <v>-990875</v>
      </c>
      <c r="S10" s="64">
        <v>24.2</v>
      </c>
      <c r="T10" s="60">
        <f>400000*30%</f>
        <v>120000</v>
      </c>
      <c r="U10" s="60"/>
      <c r="V10" s="60"/>
      <c r="W10" s="60"/>
      <c r="X10" s="60"/>
      <c r="Y10" s="60"/>
      <c r="Z10" s="60"/>
      <c r="AA10" s="60"/>
      <c r="AB10" s="60">
        <v>100000</v>
      </c>
      <c r="AC10" s="63">
        <f t="shared" si="5"/>
        <v>220000</v>
      </c>
      <c r="AD10" s="59">
        <v>0</v>
      </c>
      <c r="AE10" s="59">
        <f t="shared" si="6"/>
        <v>3934500</v>
      </c>
      <c r="AF10" s="60"/>
      <c r="AG10" s="60"/>
      <c r="AH10" s="63">
        <f t="shared" si="7"/>
        <v>0</v>
      </c>
    </row>
    <row r="11" spans="1:34">
      <c r="A11" s="62" t="s">
        <v>46</v>
      </c>
      <c r="B11" s="62" t="s">
        <v>39</v>
      </c>
      <c r="C11" s="59">
        <v>1</v>
      </c>
      <c r="D11" s="59">
        <v>0</v>
      </c>
      <c r="E11" s="59">
        <v>331000</v>
      </c>
      <c r="F11" s="59">
        <v>0</v>
      </c>
      <c r="G11" s="59">
        <v>0</v>
      </c>
      <c r="H11" s="59">
        <v>0</v>
      </c>
      <c r="I11" s="59">
        <v>331000</v>
      </c>
      <c r="J11" s="59">
        <v>0</v>
      </c>
      <c r="K11" s="59">
        <f t="shared" si="0"/>
        <v>0</v>
      </c>
      <c r="L11" s="59">
        <f t="shared" si="9"/>
        <v>99300</v>
      </c>
      <c r="M11" s="59">
        <f t="shared" si="10"/>
        <v>0</v>
      </c>
      <c r="N11" s="59">
        <f t="shared" si="1"/>
        <v>0</v>
      </c>
      <c r="O11" s="59">
        <f t="shared" si="2"/>
        <v>0</v>
      </c>
      <c r="P11" s="59">
        <f t="shared" si="8"/>
        <v>99300</v>
      </c>
      <c r="Q11" s="59">
        <f t="shared" si="3"/>
        <v>99300</v>
      </c>
      <c r="R11" s="59">
        <f t="shared" si="4"/>
        <v>0</v>
      </c>
      <c r="S11" s="61">
        <v>30</v>
      </c>
      <c r="T11" s="60">
        <f>175000*30%</f>
        <v>52500</v>
      </c>
      <c r="U11" s="60"/>
      <c r="V11" s="60"/>
      <c r="W11" s="60"/>
      <c r="X11" s="60"/>
      <c r="Y11" s="60"/>
      <c r="Z11" s="60"/>
      <c r="AA11" s="60"/>
      <c r="AB11" s="60"/>
      <c r="AC11" s="59">
        <f t="shared" si="5"/>
        <v>52500</v>
      </c>
      <c r="AD11" s="59">
        <v>0</v>
      </c>
      <c r="AE11" s="59">
        <f t="shared" si="6"/>
        <v>46800</v>
      </c>
      <c r="AF11" s="60"/>
      <c r="AG11" s="60"/>
      <c r="AH11" s="59">
        <f t="shared" si="7"/>
        <v>0</v>
      </c>
    </row>
    <row r="12" spans="1:34" ht="15.75" thickBot="1">
      <c r="A12" s="62" t="s">
        <v>72</v>
      </c>
      <c r="B12" s="62" t="s">
        <v>39</v>
      </c>
      <c r="C12" s="59">
        <v>1</v>
      </c>
      <c r="D12" s="59">
        <v>150000</v>
      </c>
      <c r="E12" s="59">
        <v>0</v>
      </c>
      <c r="F12" s="59">
        <v>0</v>
      </c>
      <c r="G12" s="59">
        <v>0</v>
      </c>
      <c r="H12" s="59">
        <v>0</v>
      </c>
      <c r="I12" s="59">
        <v>150000</v>
      </c>
      <c r="J12" s="59">
        <v>0</v>
      </c>
      <c r="K12" s="59">
        <f t="shared" si="0"/>
        <v>30000</v>
      </c>
      <c r="L12" s="59">
        <f t="shared" si="9"/>
        <v>0</v>
      </c>
      <c r="M12" s="59">
        <f t="shared" si="10"/>
        <v>0</v>
      </c>
      <c r="N12" s="59">
        <f t="shared" si="1"/>
        <v>0</v>
      </c>
      <c r="O12" s="59">
        <f t="shared" si="2"/>
        <v>0</v>
      </c>
      <c r="P12" s="59">
        <f t="shared" si="8"/>
        <v>30000</v>
      </c>
      <c r="Q12" s="59">
        <f t="shared" si="3"/>
        <v>45000</v>
      </c>
      <c r="R12" s="59">
        <f t="shared" si="4"/>
        <v>-15000</v>
      </c>
      <c r="S12" s="61">
        <v>20</v>
      </c>
      <c r="T12" s="60"/>
      <c r="U12" s="60"/>
      <c r="V12" s="60"/>
      <c r="W12" s="60"/>
      <c r="X12" s="60"/>
      <c r="Y12" s="60"/>
      <c r="Z12" s="60"/>
      <c r="AA12" s="60"/>
      <c r="AB12" s="60"/>
      <c r="AC12" s="59">
        <f t="shared" si="5"/>
        <v>0</v>
      </c>
      <c r="AD12" s="59">
        <v>0</v>
      </c>
      <c r="AE12" s="59">
        <f t="shared" si="6"/>
        <v>30000</v>
      </c>
      <c r="AF12" s="60"/>
      <c r="AG12" s="60"/>
      <c r="AH12" s="59">
        <f t="shared" si="7"/>
        <v>0</v>
      </c>
    </row>
    <row r="13" spans="1:34">
      <c r="A13" s="58" t="s">
        <v>28</v>
      </c>
      <c r="B13" s="58"/>
      <c r="C13" s="56">
        <f t="shared" ref="C13:R13" si="11">SUM(C5:C12)</f>
        <v>582</v>
      </c>
      <c r="D13" s="56">
        <f t="shared" si="11"/>
        <v>73279250</v>
      </c>
      <c r="E13" s="56">
        <f t="shared" si="11"/>
        <v>62516500</v>
      </c>
      <c r="F13" s="56">
        <f t="shared" si="11"/>
        <v>20319000</v>
      </c>
      <c r="G13" s="56">
        <f t="shared" si="11"/>
        <v>0</v>
      </c>
      <c r="H13" s="56">
        <f t="shared" si="11"/>
        <v>9458000</v>
      </c>
      <c r="I13" s="56">
        <f t="shared" si="11"/>
        <v>165572750</v>
      </c>
      <c r="J13" s="56"/>
      <c r="K13" s="56">
        <f t="shared" si="11"/>
        <v>14655850</v>
      </c>
      <c r="L13" s="56">
        <f t="shared" si="11"/>
        <v>19356595</v>
      </c>
      <c r="M13" s="56">
        <f t="shared" si="11"/>
        <v>6802875</v>
      </c>
      <c r="N13" s="56">
        <f t="shared" si="11"/>
        <v>0</v>
      </c>
      <c r="O13" s="56">
        <f t="shared" si="11"/>
        <v>2837400</v>
      </c>
      <c r="P13" s="56" t="e">
        <f t="shared" si="11"/>
        <v>#REF!</v>
      </c>
      <c r="Q13" s="56">
        <f t="shared" si="11"/>
        <v>49671825</v>
      </c>
      <c r="R13" s="56" t="e">
        <f t="shared" si="11"/>
        <v>#REF!</v>
      </c>
      <c r="S13" s="57" t="e">
        <f>IF(I13=0,0,P13/I13*100)</f>
        <v>#REF!</v>
      </c>
      <c r="T13" s="56">
        <f t="shared" ref="T13:AH13" si="12">SUM(T5:T12)</f>
        <v>343800</v>
      </c>
      <c r="U13" s="56">
        <f t="shared" si="12"/>
        <v>0</v>
      </c>
      <c r="V13" s="56">
        <f t="shared" si="12"/>
        <v>343805</v>
      </c>
      <c r="W13" s="56">
        <f t="shared" si="12"/>
        <v>0</v>
      </c>
      <c r="X13" s="56">
        <f t="shared" si="12"/>
        <v>0</v>
      </c>
      <c r="Y13" s="56">
        <f t="shared" si="12"/>
        <v>0</v>
      </c>
      <c r="Z13" s="56">
        <f t="shared" si="12"/>
        <v>30000</v>
      </c>
      <c r="AA13" s="56">
        <f t="shared" si="12"/>
        <v>100000</v>
      </c>
      <c r="AB13" s="56">
        <f t="shared" si="12"/>
        <v>500000</v>
      </c>
      <c r="AC13" s="56">
        <f t="shared" si="12"/>
        <v>1317605</v>
      </c>
      <c r="AD13" s="56">
        <f t="shared" si="12"/>
        <v>0</v>
      </c>
      <c r="AE13" s="56" t="e">
        <f t="shared" si="12"/>
        <v>#REF!</v>
      </c>
      <c r="AF13" s="56">
        <f t="shared" si="12"/>
        <v>1165600</v>
      </c>
      <c r="AG13" s="56">
        <f t="shared" si="12"/>
        <v>51560605.149999999</v>
      </c>
      <c r="AH13" s="56">
        <f t="shared" si="12"/>
        <v>52726205.149999999</v>
      </c>
    </row>
    <row r="14" spans="1:34">
      <c r="J14" s="78" t="s">
        <v>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2:AH28"/>
  <sheetViews>
    <sheetView showGridLines="0" tabSelected="1" zoomScale="40" zoomScaleNormal="40" workbookViewId="0">
      <pane xSplit="4" ySplit="7" topLeftCell="E8" activePane="bottomRight" state="frozen"/>
      <selection pane="topRight"/>
      <selection pane="bottomLeft"/>
      <selection pane="bottomRight" activeCell="Z8" sqref="Z8:Z15"/>
    </sheetView>
  </sheetViews>
  <sheetFormatPr defaultColWidth="13.140625" defaultRowHeight="14.25"/>
  <cols>
    <col min="1" max="1" width="1.42578125" style="7" customWidth="1"/>
    <col min="2" max="2" width="9" style="7" customWidth="1"/>
    <col min="3" max="3" width="26.85546875" style="8" customWidth="1"/>
    <col min="4" max="4" width="62.7109375" style="7" customWidth="1"/>
    <col min="5" max="5" width="45.28515625" style="7" customWidth="1"/>
    <col min="6" max="6" width="26.140625" style="9" customWidth="1"/>
    <col min="7" max="7" width="49.85546875" style="9" customWidth="1"/>
    <col min="8" max="8" width="47" style="9" customWidth="1"/>
    <col min="9" max="9" width="69.42578125" style="9" customWidth="1"/>
    <col min="10" max="10" width="87.28515625" style="9" customWidth="1"/>
    <col min="11" max="11" width="22.85546875" style="9" customWidth="1"/>
    <col min="12" max="12" width="83.7109375" style="7" customWidth="1"/>
    <col min="13" max="13" width="38.7109375" style="7" customWidth="1"/>
    <col min="14" max="14" width="36.5703125" style="7" bestFit="1" customWidth="1"/>
    <col min="15" max="15" width="47.28515625" style="7" customWidth="1"/>
    <col min="16" max="19" width="43.28515625" style="7" customWidth="1"/>
    <col min="20" max="24" width="34.42578125" style="7" customWidth="1"/>
    <col min="25" max="25" width="42" style="7" customWidth="1"/>
    <col min="26" max="26" width="39.85546875" style="7" customWidth="1"/>
    <col min="27" max="27" width="70.5703125" style="7" bestFit="1" customWidth="1"/>
    <col min="28" max="16384" width="13.140625" style="7"/>
  </cols>
  <sheetData>
    <row r="2" spans="2:34" ht="54.95" customHeight="1">
      <c r="B2" s="10" t="s">
        <v>41</v>
      </c>
      <c r="C2" s="11"/>
      <c r="D2" s="11"/>
      <c r="E2" s="11"/>
      <c r="F2" s="11"/>
      <c r="G2" s="11"/>
      <c r="H2" s="11"/>
      <c r="I2" s="11"/>
      <c r="J2" s="11"/>
      <c r="K2" s="11"/>
      <c r="L2" s="26"/>
      <c r="M2" s="26"/>
      <c r="N2" s="26"/>
      <c r="O2" s="26"/>
      <c r="P2" s="26"/>
      <c r="Q2" s="26"/>
      <c r="R2" s="26"/>
      <c r="S2" s="26"/>
      <c r="T2" s="26"/>
      <c r="U2" s="26"/>
      <c r="V2" s="26"/>
      <c r="W2" s="26"/>
      <c r="X2" s="26"/>
      <c r="Y2" s="26"/>
      <c r="Z2" s="26"/>
      <c r="AA2" s="11"/>
      <c r="AB2" s="11"/>
      <c r="AC2" s="11"/>
      <c r="AD2" s="11"/>
      <c r="AE2" s="11"/>
      <c r="AF2" s="11"/>
      <c r="AG2" s="11"/>
      <c r="AH2" s="11"/>
    </row>
    <row r="3" spans="2:34" ht="54.95" customHeight="1">
      <c r="B3" s="10" t="s">
        <v>38</v>
      </c>
      <c r="C3" s="11"/>
      <c r="D3" s="11"/>
      <c r="E3" s="11"/>
      <c r="F3" s="11"/>
      <c r="G3" s="11"/>
      <c r="H3" s="11"/>
      <c r="I3" s="11"/>
      <c r="J3" s="11"/>
      <c r="K3" s="11"/>
      <c r="L3" s="26"/>
      <c r="M3" s="26"/>
      <c r="N3" s="26"/>
      <c r="O3" s="26"/>
      <c r="P3" s="26"/>
      <c r="Q3" s="26"/>
      <c r="R3" s="26"/>
      <c r="S3" s="26"/>
      <c r="T3" s="26"/>
      <c r="U3" s="26"/>
      <c r="V3" s="26"/>
      <c r="W3" s="26"/>
      <c r="X3" s="26"/>
      <c r="Y3" s="26"/>
      <c r="Z3" s="26"/>
      <c r="AA3" s="11"/>
      <c r="AB3" s="11"/>
      <c r="AC3" s="11"/>
      <c r="AD3" s="11"/>
      <c r="AE3" s="11"/>
      <c r="AF3" s="11"/>
      <c r="AG3" s="11"/>
      <c r="AH3" s="11"/>
    </row>
    <row r="4" spans="2:34" ht="54.95" customHeight="1">
      <c r="B4" s="10" t="s">
        <v>8</v>
      </c>
      <c r="C4" s="11"/>
      <c r="D4" s="46" t="s">
        <v>96</v>
      </c>
      <c r="E4" s="11"/>
      <c r="F4" s="11"/>
      <c r="G4" s="11"/>
      <c r="H4" s="11"/>
      <c r="I4" s="11"/>
      <c r="J4" s="11"/>
      <c r="K4" s="11"/>
      <c r="L4" s="26"/>
      <c r="M4" s="26"/>
      <c r="N4" s="26"/>
      <c r="O4" s="26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11"/>
      <c r="AB4" s="11"/>
      <c r="AC4" s="11"/>
      <c r="AD4" s="11"/>
      <c r="AE4" s="11"/>
      <c r="AF4" s="11"/>
      <c r="AG4" s="11"/>
      <c r="AH4" s="11"/>
    </row>
    <row r="5" spans="2:34" s="1" customFormat="1" ht="60" customHeight="1">
      <c r="C5" s="12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</row>
    <row r="6" spans="2:34" s="2" customFormat="1" ht="17.100000000000001" customHeight="1">
      <c r="C6" s="14"/>
      <c r="D6" s="14"/>
      <c r="F6" s="14"/>
      <c r="G6" s="14"/>
      <c r="I6" s="14"/>
      <c r="J6" s="14"/>
      <c r="L6" s="14"/>
      <c r="M6" s="14"/>
      <c r="O6" s="14"/>
      <c r="P6" s="14"/>
      <c r="R6" s="14"/>
      <c r="S6" s="14"/>
      <c r="U6" s="14"/>
      <c r="W6" s="14"/>
      <c r="Y6" s="14"/>
      <c r="AA6" s="14"/>
    </row>
    <row r="7" spans="2:34" s="3" customFormat="1" ht="152.1" customHeight="1">
      <c r="B7" s="15" t="s">
        <v>9</v>
      </c>
      <c r="C7" s="16" t="s">
        <v>10</v>
      </c>
      <c r="D7" s="15" t="s">
        <v>11</v>
      </c>
      <c r="E7" s="15" t="s">
        <v>12</v>
      </c>
      <c r="F7" s="15" t="s">
        <v>13</v>
      </c>
      <c r="G7" s="15" t="s">
        <v>14</v>
      </c>
      <c r="H7" s="16" t="s">
        <v>15</v>
      </c>
      <c r="I7" s="15" t="s">
        <v>16</v>
      </c>
      <c r="J7" s="15" t="s">
        <v>17</v>
      </c>
      <c r="K7" s="15" t="s">
        <v>18</v>
      </c>
      <c r="L7" s="15" t="s">
        <v>19</v>
      </c>
      <c r="M7" s="27" t="s">
        <v>20</v>
      </c>
      <c r="N7" s="27" t="s">
        <v>21</v>
      </c>
      <c r="O7" s="27" t="s">
        <v>22</v>
      </c>
      <c r="P7" s="28" t="s">
        <v>73</v>
      </c>
      <c r="Q7" s="28" t="s">
        <v>44</v>
      </c>
      <c r="R7" s="28" t="s">
        <v>1</v>
      </c>
      <c r="S7" s="28" t="s">
        <v>2</v>
      </c>
      <c r="T7" s="28" t="s">
        <v>3</v>
      </c>
      <c r="U7" s="28" t="s">
        <v>54</v>
      </c>
      <c r="V7" s="28" t="s">
        <v>70</v>
      </c>
      <c r="W7" s="28" t="s">
        <v>69</v>
      </c>
      <c r="X7" s="28" t="s">
        <v>68</v>
      </c>
      <c r="Y7" s="28" t="s">
        <v>67</v>
      </c>
      <c r="Z7" s="35" t="s">
        <v>23</v>
      </c>
      <c r="AA7" s="36" t="s">
        <v>24</v>
      </c>
    </row>
    <row r="8" spans="2:34" s="4" customFormat="1" ht="60" customHeight="1">
      <c r="B8" s="17">
        <v>1</v>
      </c>
      <c r="C8" s="48"/>
      <c r="D8" s="18" t="str">
        <f>RAW!A5</f>
        <v>ABDUL MUNAJAT</v>
      </c>
      <c r="E8" s="18" t="s">
        <v>25</v>
      </c>
      <c r="F8" s="19" t="str">
        <f>RAW!B5</f>
        <v>JATIMULYA</v>
      </c>
      <c r="G8" s="21" t="s">
        <v>27</v>
      </c>
      <c r="H8" s="51"/>
      <c r="I8" s="20"/>
      <c r="J8" s="22" t="str">
        <f t="shared" ref="J8:J15" si="0">CONCATENATE($G$7,G8,$H$7,H8,$I$7,I8)</f>
        <v xml:space="preserve">Bank BSI No. Rek.  A/n </v>
      </c>
      <c r="K8" s="19" t="s">
        <v>26</v>
      </c>
      <c r="L8" s="29">
        <f>RAW!I5</f>
        <v>40400000</v>
      </c>
      <c r="M8" s="29" t="e">
        <f>RAW!P5</f>
        <v>#REF!</v>
      </c>
      <c r="N8" s="30">
        <f>RAW!AD5</f>
        <v>0</v>
      </c>
      <c r="O8" s="31" t="e">
        <f t="shared" ref="O8:O15" si="1">SUM(M8:N8)</f>
        <v>#REF!</v>
      </c>
      <c r="P8" s="31">
        <f>RAW!T5</f>
        <v>0</v>
      </c>
      <c r="Q8" s="31">
        <f>RAW!U5</f>
        <v>0</v>
      </c>
      <c r="R8" s="31">
        <f>RAW!V5</f>
        <v>0</v>
      </c>
      <c r="S8" s="31">
        <f>RAW!W5</f>
        <v>0</v>
      </c>
      <c r="T8" s="31">
        <f>RAW!X5</f>
        <v>0</v>
      </c>
      <c r="U8" s="31">
        <f>RAW!Y5</f>
        <v>0</v>
      </c>
      <c r="V8" s="31">
        <f>RAW!Z5</f>
        <v>0</v>
      </c>
      <c r="W8" s="31">
        <f>RAW!AA5</f>
        <v>0</v>
      </c>
      <c r="X8" s="31">
        <f>RAW!AB5</f>
        <v>100000</v>
      </c>
      <c r="Y8" s="31">
        <f>RAW!AC5</f>
        <v>100000</v>
      </c>
      <c r="Z8" s="31" t="e">
        <f>O8-Y8</f>
        <v>#REF!</v>
      </c>
      <c r="AA8" s="37" t="str">
        <f>_xlfn.TEXTJOIN(" | ",TRUE,IF(V8&gt;0,"Biaya Pendaftaran Koperasi: "&amp;TEXT(V8,"#.##0"),""),IF(W8&gt;0,"Simpanan Pokok: "&amp;TEXT(W8,"#.##0"),""),IF(X8&gt;0,"Simpanan Wajib: "&amp;TEXT(X8,"#.##0"),""))</f>
        <v>Simpanan Wajib: 100.000</v>
      </c>
    </row>
    <row r="9" spans="2:34" s="4" customFormat="1" ht="60" customHeight="1">
      <c r="B9" s="17">
        <v>2</v>
      </c>
      <c r="C9" s="48"/>
      <c r="D9" s="18" t="str">
        <f>RAW!A6</f>
        <v>EKO RISDIYANTORO JATIMULYA</v>
      </c>
      <c r="E9" s="18" t="s">
        <v>25</v>
      </c>
      <c r="F9" s="19" t="str">
        <f>RAW!B6</f>
        <v>JATIMULYA</v>
      </c>
      <c r="G9" s="21" t="s">
        <v>27</v>
      </c>
      <c r="H9" s="51"/>
      <c r="I9" s="20"/>
      <c r="J9" s="22" t="str">
        <f t="shared" si="0"/>
        <v xml:space="preserve">Bank BSI No. Rek.  A/n </v>
      </c>
      <c r="K9" s="19" t="s">
        <v>26</v>
      </c>
      <c r="L9" s="29">
        <f>RAW!I6</f>
        <v>34123500</v>
      </c>
      <c r="M9" s="29" t="e">
        <f>RAW!P6</f>
        <v>#REF!</v>
      </c>
      <c r="N9" s="30">
        <f>RAW!AD6</f>
        <v>0</v>
      </c>
      <c r="O9" s="31" t="e">
        <f t="shared" si="1"/>
        <v>#REF!</v>
      </c>
      <c r="P9" s="31">
        <f>RAW!T6</f>
        <v>0</v>
      </c>
      <c r="Q9" s="31">
        <f>RAW!U6</f>
        <v>0</v>
      </c>
      <c r="R9" s="31">
        <f>RAW!V6</f>
        <v>343805</v>
      </c>
      <c r="S9" s="31">
        <f>RAW!W6</f>
        <v>0</v>
      </c>
      <c r="T9" s="31">
        <f>RAW!X6</f>
        <v>0</v>
      </c>
      <c r="U9" s="31">
        <f>RAW!Y6</f>
        <v>0</v>
      </c>
      <c r="V9" s="31">
        <f>RAW!Z6</f>
        <v>0</v>
      </c>
      <c r="W9" s="31">
        <f>RAW!AA6</f>
        <v>0</v>
      </c>
      <c r="X9" s="31">
        <f>RAW!AB6</f>
        <v>100000</v>
      </c>
      <c r="Y9" s="31">
        <f>RAW!AC6</f>
        <v>443805</v>
      </c>
      <c r="Z9" s="31" t="e">
        <f t="shared" ref="Z9:Z15" si="2">O9-Y9</f>
        <v>#REF!</v>
      </c>
      <c r="AA9" s="37" t="str">
        <f t="shared" ref="AA9:AA15" si="3">_xlfn.TEXTJOIN(" | ",TRUE,IF(V9&gt;0,"Biaya Pendaftaran Koperasi: "&amp;TEXT(V9,"#.##0"),""),IF(W9&gt;0,"Simpanan Pokok: "&amp;TEXT(W9,"#.##0"),""),IF(X9&gt;0,"Simpanan Wajib: "&amp;TEXT(X9,"#.##0"),""))</f>
        <v>Simpanan Wajib: 100.000</v>
      </c>
    </row>
    <row r="10" spans="2:34" s="4" customFormat="1" ht="60" customHeight="1">
      <c r="B10" s="17">
        <v>3</v>
      </c>
      <c r="C10" s="48"/>
      <c r="D10" s="18" t="str">
        <f>RAW!A7</f>
        <v>SYARIF HIDAYAT</v>
      </c>
      <c r="E10" s="18" t="s">
        <v>25</v>
      </c>
      <c r="F10" s="19" t="str">
        <f>RAW!B7</f>
        <v>JATIMULYA</v>
      </c>
      <c r="G10" s="21" t="s">
        <v>27</v>
      </c>
      <c r="H10" s="51"/>
      <c r="I10" s="20"/>
      <c r="J10" s="22" t="str">
        <f t="shared" si="0"/>
        <v xml:space="preserve">Bank BSI No. Rek.  A/n </v>
      </c>
      <c r="K10" s="19" t="s">
        <v>26</v>
      </c>
      <c r="L10" s="29">
        <f>RAW!I7</f>
        <v>31339000</v>
      </c>
      <c r="M10" s="29" t="e">
        <f>RAW!P7</f>
        <v>#REF!</v>
      </c>
      <c r="N10" s="30">
        <f>RAW!AD7</f>
        <v>0</v>
      </c>
      <c r="O10" s="31" t="e">
        <f t="shared" si="1"/>
        <v>#REF!</v>
      </c>
      <c r="P10" s="31">
        <f>RAW!T7</f>
        <v>84300</v>
      </c>
      <c r="Q10" s="31">
        <f>RAW!U7</f>
        <v>0</v>
      </c>
      <c r="R10" s="31">
        <f>RAW!V7</f>
        <v>0</v>
      </c>
      <c r="S10" s="31">
        <f>RAW!W7</f>
        <v>0</v>
      </c>
      <c r="T10" s="31">
        <f>RAW!X7</f>
        <v>0</v>
      </c>
      <c r="U10" s="31">
        <f>RAW!Y7</f>
        <v>0</v>
      </c>
      <c r="V10" s="31">
        <f>RAW!Z7</f>
        <v>0</v>
      </c>
      <c r="W10" s="31">
        <f>RAW!AA7</f>
        <v>0</v>
      </c>
      <c r="X10" s="31">
        <f>RAW!AB7</f>
        <v>100000</v>
      </c>
      <c r="Y10" s="31">
        <f>RAW!AC7</f>
        <v>184300</v>
      </c>
      <c r="Z10" s="31" t="e">
        <f t="shared" si="2"/>
        <v>#REF!</v>
      </c>
      <c r="AA10" s="37" t="str">
        <f t="shared" si="3"/>
        <v>Simpanan Wajib: 100.000</v>
      </c>
    </row>
    <row r="11" spans="2:34" s="4" customFormat="1" ht="60" customHeight="1">
      <c r="B11" s="17">
        <v>4</v>
      </c>
      <c r="C11" s="48"/>
      <c r="D11" s="18" t="str">
        <f>RAW!A8</f>
        <v>ARIFIN SANTOSO JATIMULYA</v>
      </c>
      <c r="E11" s="18" t="s">
        <v>25</v>
      </c>
      <c r="F11" s="19" t="str">
        <f>RAW!B8</f>
        <v>JATIMULYA</v>
      </c>
      <c r="G11" s="21" t="s">
        <v>27</v>
      </c>
      <c r="H11" s="51"/>
      <c r="I11" s="20"/>
      <c r="J11" s="22" t="str">
        <f t="shared" si="0"/>
        <v xml:space="preserve">Bank BSI No. Rek.  A/n </v>
      </c>
      <c r="K11" s="19" t="s">
        <v>26</v>
      </c>
      <c r="L11" s="29">
        <f>RAW!I8</f>
        <v>23312000</v>
      </c>
      <c r="M11" s="29" t="e">
        <f>RAW!P8</f>
        <v>#REF!</v>
      </c>
      <c r="N11" s="30">
        <f>RAW!AD8</f>
        <v>0</v>
      </c>
      <c r="O11" s="31" t="e">
        <f t="shared" si="1"/>
        <v>#REF!</v>
      </c>
      <c r="P11" s="31">
        <f>RAW!T8</f>
        <v>60000</v>
      </c>
      <c r="Q11" s="31">
        <f>RAW!U8</f>
        <v>0</v>
      </c>
      <c r="R11" s="31">
        <f>RAW!V8</f>
        <v>0</v>
      </c>
      <c r="S11" s="31">
        <f>RAW!W8</f>
        <v>0</v>
      </c>
      <c r="T11" s="31">
        <f>RAW!X8</f>
        <v>0</v>
      </c>
      <c r="U11" s="31">
        <f>RAW!Y8</f>
        <v>0</v>
      </c>
      <c r="V11" s="31">
        <f>RAW!Z8</f>
        <v>0</v>
      </c>
      <c r="W11" s="31">
        <f>RAW!AA8</f>
        <v>0</v>
      </c>
      <c r="X11" s="31">
        <f>RAW!AB8</f>
        <v>100000</v>
      </c>
      <c r="Y11" s="31">
        <f>RAW!AC8</f>
        <v>160000</v>
      </c>
      <c r="Z11" s="31" t="e">
        <f t="shared" si="2"/>
        <v>#REF!</v>
      </c>
      <c r="AA11" s="37" t="str">
        <f t="shared" si="3"/>
        <v>Simpanan Wajib: 100.000</v>
      </c>
    </row>
    <row r="12" spans="2:34" s="4" customFormat="1" ht="60" customHeight="1">
      <c r="B12" s="17">
        <v>5</v>
      </c>
      <c r="C12" s="48"/>
      <c r="D12" s="18" t="str">
        <f>RAW!A9</f>
        <v>ROBI PRAYOGA</v>
      </c>
      <c r="E12" s="18" t="s">
        <v>25</v>
      </c>
      <c r="F12" s="19" t="str">
        <f>RAW!B9</f>
        <v>JATIMULYA</v>
      </c>
      <c r="G12" s="21" t="s">
        <v>27</v>
      </c>
      <c r="H12" s="51"/>
      <c r="I12" s="18"/>
      <c r="J12" s="22" t="str">
        <f t="shared" si="0"/>
        <v xml:space="preserve">Bank BSI No. Rek.  A/n </v>
      </c>
      <c r="K12" s="19" t="s">
        <v>26</v>
      </c>
      <c r="L12" s="29">
        <f>RAW!I9</f>
        <v>18766000</v>
      </c>
      <c r="M12" s="29">
        <f>RAW!P9</f>
        <v>4266200</v>
      </c>
      <c r="N12" s="30">
        <f>RAW!AD9</f>
        <v>0</v>
      </c>
      <c r="O12" s="31">
        <f t="shared" si="1"/>
        <v>4266200</v>
      </c>
      <c r="P12" s="31">
        <f>RAW!T9</f>
        <v>27000</v>
      </c>
      <c r="Q12" s="31">
        <f>RAW!U9</f>
        <v>0</v>
      </c>
      <c r="R12" s="31">
        <f>RAW!V9</f>
        <v>0</v>
      </c>
      <c r="S12" s="31">
        <f>RAW!W9</f>
        <v>0</v>
      </c>
      <c r="T12" s="31">
        <f>RAW!X9</f>
        <v>0</v>
      </c>
      <c r="U12" s="31">
        <f>RAW!Y9</f>
        <v>0</v>
      </c>
      <c r="V12" s="31">
        <f>RAW!Z9</f>
        <v>30000</v>
      </c>
      <c r="W12" s="31">
        <f>RAW!AA9</f>
        <v>100000</v>
      </c>
      <c r="X12" s="31">
        <f>RAW!AB9</f>
        <v>0</v>
      </c>
      <c r="Y12" s="31">
        <f>RAW!AC9</f>
        <v>157000</v>
      </c>
      <c r="Z12" s="31">
        <f t="shared" si="2"/>
        <v>4109200</v>
      </c>
      <c r="AA12" s="37" t="str">
        <f t="shared" si="3"/>
        <v>Biaya Pendaftaran Koperasi: 30.000 | Simpanan Pokok: 100.000</v>
      </c>
    </row>
    <row r="13" spans="2:34" s="4" customFormat="1" ht="60" customHeight="1">
      <c r="B13" s="17">
        <v>6</v>
      </c>
      <c r="C13" s="48"/>
      <c r="D13" s="18" t="str">
        <f>RAW!A10</f>
        <v>ARI MARWAN</v>
      </c>
      <c r="E13" s="18" t="s">
        <v>25</v>
      </c>
      <c r="F13" s="19" t="str">
        <f>RAW!B10</f>
        <v>JATIMULYA</v>
      </c>
      <c r="G13" s="21" t="s">
        <v>27</v>
      </c>
      <c r="H13" s="51"/>
      <c r="I13" s="20"/>
      <c r="J13" s="22" t="str">
        <f t="shared" si="0"/>
        <v xml:space="preserve">Bank BSI No. Rek.  A/n </v>
      </c>
      <c r="K13" s="19" t="s">
        <v>26</v>
      </c>
      <c r="L13" s="29">
        <f>RAW!I10</f>
        <v>17151250</v>
      </c>
      <c r="M13" s="29">
        <f>RAW!P10</f>
        <v>4154500</v>
      </c>
      <c r="N13" s="30">
        <f>RAW!AD10</f>
        <v>0</v>
      </c>
      <c r="O13" s="31">
        <f t="shared" si="1"/>
        <v>4154500</v>
      </c>
      <c r="P13" s="31">
        <f>RAW!T10</f>
        <v>120000</v>
      </c>
      <c r="Q13" s="31">
        <f>RAW!U10</f>
        <v>0</v>
      </c>
      <c r="R13" s="31">
        <f>RAW!V10</f>
        <v>0</v>
      </c>
      <c r="S13" s="31">
        <f>RAW!W10</f>
        <v>0</v>
      </c>
      <c r="T13" s="31">
        <f>RAW!X10</f>
        <v>0</v>
      </c>
      <c r="U13" s="31">
        <f>RAW!Y10</f>
        <v>0</v>
      </c>
      <c r="V13" s="31">
        <f>RAW!Z10</f>
        <v>0</v>
      </c>
      <c r="W13" s="31">
        <f>RAW!AA10</f>
        <v>0</v>
      </c>
      <c r="X13" s="31">
        <f>RAW!AB10</f>
        <v>100000</v>
      </c>
      <c r="Y13" s="31">
        <f>RAW!AC10</f>
        <v>220000</v>
      </c>
      <c r="Z13" s="31">
        <f t="shared" si="2"/>
        <v>3934500</v>
      </c>
      <c r="AA13" s="37" t="str">
        <f t="shared" si="3"/>
        <v>Simpanan Wajib: 100.000</v>
      </c>
    </row>
    <row r="14" spans="2:34" s="4" customFormat="1" ht="60" customHeight="1">
      <c r="B14" s="17">
        <v>7</v>
      </c>
      <c r="C14" s="48"/>
      <c r="D14" s="18" t="str">
        <f>RAW!A11</f>
        <v>YUVI NOFERIANTO</v>
      </c>
      <c r="E14" s="18" t="s">
        <v>25</v>
      </c>
      <c r="F14" s="19" t="str">
        <f>RAW!B11</f>
        <v>JATIMULYA</v>
      </c>
      <c r="G14" s="21" t="s">
        <v>27</v>
      </c>
      <c r="H14" s="75"/>
      <c r="I14" s="76"/>
      <c r="J14" s="22" t="str">
        <f t="shared" ref="J14" si="4">CONCATENATE($G$7,G14,$H$7,H14,$I$7,I14)</f>
        <v xml:space="preserve">Bank BSI No. Rek.  A/n </v>
      </c>
      <c r="K14" s="19" t="s">
        <v>26</v>
      </c>
      <c r="L14" s="29">
        <f>RAW!I11</f>
        <v>331000</v>
      </c>
      <c r="M14" s="29">
        <f>RAW!P11</f>
        <v>99300</v>
      </c>
      <c r="N14" s="30">
        <f>RAW!AD11</f>
        <v>0</v>
      </c>
      <c r="O14" s="31">
        <f t="shared" si="1"/>
        <v>99300</v>
      </c>
      <c r="P14" s="31">
        <f>RAW!T11</f>
        <v>52500</v>
      </c>
      <c r="Q14" s="31">
        <f>RAW!U11</f>
        <v>0</v>
      </c>
      <c r="R14" s="31">
        <f>RAW!V11</f>
        <v>0</v>
      </c>
      <c r="S14" s="31">
        <f>RAW!W11</f>
        <v>0</v>
      </c>
      <c r="T14" s="31">
        <f>RAW!X11</f>
        <v>0</v>
      </c>
      <c r="U14" s="31">
        <f>RAW!Y11</f>
        <v>0</v>
      </c>
      <c r="V14" s="31">
        <f>RAW!Z11</f>
        <v>0</v>
      </c>
      <c r="W14" s="31">
        <f>RAW!AA11</f>
        <v>0</v>
      </c>
      <c r="X14" s="31">
        <f>RAW!AB11</f>
        <v>0</v>
      </c>
      <c r="Y14" s="31">
        <f>RAW!AC11</f>
        <v>52500</v>
      </c>
      <c r="Z14" s="31">
        <f t="shared" si="2"/>
        <v>46800</v>
      </c>
      <c r="AA14" s="37" t="str">
        <f t="shared" si="3"/>
        <v/>
      </c>
    </row>
    <row r="15" spans="2:34" s="4" customFormat="1" ht="60" customHeight="1">
      <c r="B15" s="17">
        <v>8</v>
      </c>
      <c r="C15" s="48"/>
      <c r="D15" s="18" t="str">
        <f>RAW!A12</f>
        <v>IKANG TAUFIK (OPIK)</v>
      </c>
      <c r="E15" s="18" t="s">
        <v>25</v>
      </c>
      <c r="F15" s="19" t="str">
        <f>RAW!B12</f>
        <v>JATIMULYA</v>
      </c>
      <c r="G15" s="21" t="s">
        <v>27</v>
      </c>
      <c r="H15" s="51"/>
      <c r="I15" s="18"/>
      <c r="J15" s="22" t="str">
        <f t="shared" si="0"/>
        <v xml:space="preserve">Bank BSI No. Rek.  A/n </v>
      </c>
      <c r="K15" s="19" t="s">
        <v>26</v>
      </c>
      <c r="L15" s="29">
        <f>RAW!I12</f>
        <v>150000</v>
      </c>
      <c r="M15" s="29">
        <f>RAW!P12</f>
        <v>30000</v>
      </c>
      <c r="N15" s="30">
        <f>RAW!AD12</f>
        <v>0</v>
      </c>
      <c r="O15" s="31">
        <f t="shared" si="1"/>
        <v>30000</v>
      </c>
      <c r="P15" s="31">
        <f>RAW!T12</f>
        <v>0</v>
      </c>
      <c r="Q15" s="31">
        <f>RAW!U12</f>
        <v>0</v>
      </c>
      <c r="R15" s="31">
        <f>RAW!V12</f>
        <v>0</v>
      </c>
      <c r="S15" s="31">
        <f>RAW!W12</f>
        <v>0</v>
      </c>
      <c r="T15" s="31">
        <f>RAW!X12</f>
        <v>0</v>
      </c>
      <c r="U15" s="31">
        <f>RAW!Y12</f>
        <v>0</v>
      </c>
      <c r="V15" s="31">
        <f>RAW!Z12</f>
        <v>0</v>
      </c>
      <c r="W15" s="31">
        <f>RAW!AA12</f>
        <v>0</v>
      </c>
      <c r="X15" s="31">
        <f>RAW!AB12</f>
        <v>0</v>
      </c>
      <c r="Y15" s="31">
        <f>RAW!AC12</f>
        <v>0</v>
      </c>
      <c r="Z15" s="31">
        <f t="shared" si="2"/>
        <v>30000</v>
      </c>
      <c r="AA15" s="37" t="str">
        <f t="shared" si="3"/>
        <v/>
      </c>
    </row>
    <row r="16" spans="2:34" s="5" customFormat="1" ht="69" customHeight="1">
      <c r="B16" s="80" t="s">
        <v>28</v>
      </c>
      <c r="C16" s="80"/>
      <c r="D16" s="80"/>
      <c r="E16" s="80"/>
      <c r="F16" s="80"/>
      <c r="G16" s="80"/>
      <c r="H16" s="80"/>
      <c r="I16" s="80"/>
      <c r="J16" s="80"/>
      <c r="K16" s="80"/>
      <c r="L16" s="32">
        <f>SUM(L8:L15)</f>
        <v>165572750</v>
      </c>
      <c r="M16" s="32">
        <f>SUM(M12:M15)</f>
        <v>8550000</v>
      </c>
      <c r="N16" s="32">
        <f>SUM(N8:N15)</f>
        <v>0</v>
      </c>
      <c r="O16" s="32">
        <f>SUM(O12:O15)</f>
        <v>8550000</v>
      </c>
      <c r="P16" s="32">
        <f>SUM(P8:P15)</f>
        <v>343800</v>
      </c>
      <c r="Q16" s="32">
        <f>SUM(Q8:Q15)</f>
        <v>0</v>
      </c>
      <c r="R16" s="32">
        <f>SUM(R8:R15)</f>
        <v>343805</v>
      </c>
      <c r="S16" s="32">
        <f>SUM(S8:S15)</f>
        <v>0</v>
      </c>
      <c r="T16" s="32">
        <f>SUM(T8:T15)</f>
        <v>0</v>
      </c>
      <c r="U16" s="32">
        <f>SUM(U8:U15)</f>
        <v>0</v>
      </c>
      <c r="V16" s="32">
        <f>SUM(V8:V15)</f>
        <v>30000</v>
      </c>
      <c r="W16" s="32">
        <f>SUM(W8:W15)</f>
        <v>100000</v>
      </c>
      <c r="X16" s="32">
        <f>SUM(X8:X15)</f>
        <v>500000</v>
      </c>
      <c r="Y16" s="32">
        <f>SUM(Y8:Y15)</f>
        <v>1317605</v>
      </c>
      <c r="Z16" s="32">
        <f>SUM(Z12:Z15)</f>
        <v>8120500</v>
      </c>
      <c r="AA16" s="38"/>
    </row>
    <row r="17" spans="2:34" customFormat="1" ht="26.1" customHeight="1">
      <c r="B17" s="13"/>
      <c r="C17" s="12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39"/>
    </row>
    <row r="19" spans="2:34" ht="33">
      <c r="O19" s="33" t="s">
        <v>29</v>
      </c>
      <c r="P19" s="34">
        <f ca="1">TODAY()</f>
        <v>46261</v>
      </c>
      <c r="Q19" s="34"/>
      <c r="R19" s="34"/>
      <c r="S19" s="34"/>
      <c r="T19" s="34"/>
      <c r="U19" s="34"/>
      <c r="V19" s="34"/>
      <c r="W19" s="34"/>
      <c r="X19" s="34"/>
      <c r="Z19" s="40"/>
    </row>
    <row r="20" spans="2:34" s="6" customFormat="1" ht="57.95" customHeight="1">
      <c r="C20" s="23"/>
      <c r="D20" s="24" t="s">
        <v>30</v>
      </c>
      <c r="F20" s="24"/>
      <c r="G20" s="24"/>
      <c r="H20" s="24"/>
      <c r="I20" s="24"/>
      <c r="J20" s="24"/>
      <c r="L20" s="24"/>
      <c r="M20" s="24"/>
      <c r="O20" s="24" t="s">
        <v>31</v>
      </c>
      <c r="S20" s="24" t="s">
        <v>31</v>
      </c>
      <c r="T20" s="24"/>
      <c r="U20" s="24"/>
      <c r="V20" s="24"/>
      <c r="W20" s="24"/>
      <c r="X20" s="24"/>
      <c r="Y20" s="24" t="s">
        <v>31</v>
      </c>
      <c r="Z20" s="41"/>
      <c r="AA20" s="42"/>
      <c r="AC20" s="24"/>
      <c r="AD20" s="24"/>
      <c r="AE20" s="42"/>
      <c r="AF20" s="42"/>
    </row>
    <row r="21" spans="2:34" s="6" customFormat="1" ht="33">
      <c r="C21" s="23"/>
      <c r="D21" s="24"/>
      <c r="F21" s="24"/>
      <c r="G21" s="24"/>
      <c r="H21" s="24"/>
      <c r="I21" s="24"/>
      <c r="J21" s="24"/>
      <c r="L21" s="24"/>
      <c r="M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43"/>
      <c r="AA21" s="42"/>
      <c r="AB21" s="24"/>
      <c r="AC21" s="24"/>
      <c r="AD21" s="24"/>
      <c r="AE21" s="42"/>
      <c r="AF21" s="42"/>
    </row>
    <row r="22" spans="2:34" s="6" customFormat="1" ht="33">
      <c r="C22" s="23"/>
      <c r="D22" s="25"/>
      <c r="Z22" s="44"/>
      <c r="AA22" s="42"/>
      <c r="AE22" s="42"/>
      <c r="AF22" s="42"/>
    </row>
    <row r="23" spans="2:34" s="6" customFormat="1" ht="33">
      <c r="C23" s="23"/>
      <c r="D23" s="25"/>
      <c r="P23" s="47"/>
      <c r="Q23" s="47"/>
      <c r="R23" s="47"/>
      <c r="Z23" s="45"/>
      <c r="AA23" s="42"/>
      <c r="AE23" s="42"/>
      <c r="AF23" s="42"/>
    </row>
    <row r="24" spans="2:34" s="6" customFormat="1" ht="33">
      <c r="C24" s="23"/>
      <c r="D24" s="25"/>
      <c r="AA24" s="42"/>
      <c r="AE24" s="42"/>
      <c r="AF24" s="42"/>
    </row>
    <row r="25" spans="2:34" s="6" customFormat="1" ht="33">
      <c r="C25" s="23"/>
      <c r="D25" s="24"/>
      <c r="Z25" s="45"/>
    </row>
    <row r="26" spans="2:34" s="6" customFormat="1" ht="33">
      <c r="C26" s="23"/>
      <c r="D26" s="24"/>
      <c r="Z26" s="45"/>
    </row>
    <row r="27" spans="2:34" s="6" customFormat="1" ht="33">
      <c r="C27" s="23"/>
      <c r="D27" s="24" t="s">
        <v>32</v>
      </c>
      <c r="L27" s="24"/>
      <c r="M27" s="24"/>
      <c r="O27" s="24" t="s">
        <v>42</v>
      </c>
      <c r="P27" s="24"/>
      <c r="Q27" s="24"/>
      <c r="R27" s="24"/>
      <c r="S27" s="24" t="s">
        <v>33</v>
      </c>
      <c r="T27" s="24"/>
      <c r="U27" s="24"/>
      <c r="V27" s="24"/>
      <c r="W27" s="24"/>
      <c r="X27" s="24"/>
      <c r="Y27" s="24" t="s">
        <v>34</v>
      </c>
      <c r="Z27" s="24"/>
      <c r="AB27" s="24"/>
      <c r="AC27" s="24"/>
      <c r="AD27" s="24"/>
      <c r="AH27" s="24"/>
    </row>
    <row r="28" spans="2:34" s="6" customFormat="1" ht="33">
      <c r="C28" s="23"/>
      <c r="D28" s="24" t="s">
        <v>35</v>
      </c>
      <c r="L28" s="24"/>
      <c r="M28" s="24"/>
      <c r="O28" s="24" t="s">
        <v>43</v>
      </c>
      <c r="P28" s="24"/>
      <c r="Q28" s="24"/>
      <c r="R28" s="24"/>
      <c r="S28" s="24" t="s">
        <v>36</v>
      </c>
      <c r="T28" s="24"/>
      <c r="U28" s="24"/>
      <c r="V28" s="24"/>
      <c r="W28" s="24"/>
      <c r="X28" s="24"/>
      <c r="Y28" s="24" t="s">
        <v>37</v>
      </c>
      <c r="Z28" s="43"/>
      <c r="AB28" s="24"/>
      <c r="AC28" s="24"/>
      <c r="AD28" s="24"/>
      <c r="AH28" s="24"/>
    </row>
  </sheetData>
  <mergeCells count="1">
    <mergeCell ref="B16:K16"/>
  </mergeCells>
  <conditionalFormatting sqref="AL2:AL4 AN2:AN4 AP2:AP4">
    <cfRule type="containsText" dxfId="1" priority="2" operator="containsText" text="FALSE">
      <formula>NOT(ISERROR(SEARCH("FALSE",AL2)))</formula>
    </cfRule>
  </conditionalFormatting>
  <conditionalFormatting sqref="AM20:AM28 AO20:AO28 AQ20:AQ28">
    <cfRule type="containsText" dxfId="0" priority="1" operator="containsText" text="FALSE">
      <formula>NOT(ISERROR(SEARCH("FALSE",AM20)))</formula>
    </cfRule>
  </conditionalFormatting>
  <pageMargins left="0.25" right="0.25" top="0.75" bottom="0.75" header="0.3" footer="0.3"/>
  <pageSetup paperSize="9" scale="26" orientation="portrait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 new</vt:lpstr>
      <vt:lpstr>RAW</vt:lpstr>
      <vt:lpstr>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Lenovo</cp:lastModifiedBy>
  <cp:lastPrinted>2020-08-28T07:10:00Z</cp:lastPrinted>
  <dcterms:created xsi:type="dcterms:W3CDTF">2019-01-29T05:57:00Z</dcterms:created>
  <dcterms:modified xsi:type="dcterms:W3CDTF">2026-08-27T09:49:58Z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1057-11.2.0.11440</vt:lpwstr>
  </property>
  <property fmtid="{D5CDD505-2E9C-101B-9397-08002B2CF9AE}" pid="3" name="WorkbookGuid">
    <vt:lpwstr>500ec845-84b3-42cd-a6fc-75b07df9e3ae</vt:lpwstr>
  </property>
  <property fmtid="{D5CDD505-2E9C-101B-9397-08002B2CF9AE}" pid="4" name="ICV">
    <vt:lpwstr>60D2135A4BC14057822C5F90400CD444</vt:lpwstr>
  </property>
</Properties>
</file>