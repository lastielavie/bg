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 new" sheetId="1" r:id="rId4"/>
    <sheet state="visible" name="RAW" sheetId="2" r:id="rId5"/>
    <sheet state="visible" name="FINAL" sheetId="3" r:id="rId6"/>
  </sheets>
  <definedNames>
    <definedName name="JR_PAGE_ANCHOR_0_1">#REF!</definedName>
  </definedNames>
  <calcPr/>
</workbook>
</file>

<file path=xl/sharedStrings.xml><?xml version="1.0" encoding="utf-8"?>
<sst xmlns="http://schemas.openxmlformats.org/spreadsheetml/2006/main" count="159" uniqueCount="97">
  <si>
    <t>Khusus 2 teknisi ini masih ada program saudara teknisi</t>
  </si>
  <si>
    <t>Normal</t>
  </si>
  <si>
    <t>5 Mei - 23 Mei</t>
  </si>
  <si>
    <t>Saudara Teknisi</t>
  </si>
  <si>
    <t>24 April-4 Mei</t>
  </si>
  <si>
    <t>KATEGORI BARANG</t>
  </si>
  <si>
    <t>Jasa</t>
  </si>
  <si>
    <t>TGL FAKTUR</t>
  </si>
  <si>
    <t>(Multiple Items)</t>
  </si>
  <si>
    <t>Row Labels</t>
  </si>
  <si>
    <t>Sum of TOTAL HARGA</t>
  </si>
  <si>
    <t>ABDUL MUNAJAT</t>
  </si>
  <si>
    <t>EKO RISDIYANTORO JATIMULYA</t>
  </si>
  <si>
    <t>Grand Total</t>
  </si>
  <si>
    <t>24 April - 23 Mei</t>
  </si>
  <si>
    <t>(All)</t>
  </si>
  <si>
    <t>ARI MARWAN</t>
  </si>
  <si>
    <t>ARIFIN SANTOSO JATIMULYA</t>
  </si>
  <si>
    <t>BOY RIKARDO</t>
  </si>
  <si>
    <t>MUSTOFA</t>
  </si>
  <si>
    <t>YUVI NOFERIANTO</t>
  </si>
  <si>
    <t>Bagi Hasil Teknisi — Cabang JATIMULYA</t>
  </si>
  <si>
    <t>Periode: 24 Juli 2026 – 23 Agustus 2026 · Tarif: Interface 20%, Normal 30%, Mati Total 32%, Promo 60%, Lainnya 30%, pembanding flat 30%</t>
  </si>
  <si>
    <t>lencana teknisi 35,5%</t>
  </si>
  <si>
    <t>lencana teknisi 37,5%</t>
  </si>
  <si>
    <t>Nama Teknisi</t>
  </si>
  <si>
    <t>Cabang</t>
  </si>
  <si>
    <t>Baris</t>
  </si>
  <si>
    <t>Omzet Interface</t>
  </si>
  <si>
    <t>Omzet Normal</t>
  </si>
  <si>
    <t>Omzet Mati Total</t>
  </si>
  <si>
    <t>Omzet Promo</t>
  </si>
  <si>
    <t>Omzet Lainnya</t>
  </si>
  <si>
    <t>Omzet Jasa (Total)</t>
  </si>
  <si>
    <t>Bagi Hasil Interface</t>
  </si>
  <si>
    <t>Bagi Hasil Normal</t>
  </si>
  <si>
    <t>Bagi Hasil Mati Total</t>
  </si>
  <si>
    <t>Bagi Hasil Promo</t>
  </si>
  <si>
    <t>Bagi Hasil Lainnya</t>
  </si>
  <si>
    <t>Total Bagi Hasil (Aturan)</t>
  </si>
  <si>
    <t>Pembanding 30%</t>
  </si>
  <si>
    <t>Selisih</t>
  </si>
  <si>
    <t>Efektif %</t>
  </si>
  <si>
    <t>Potongan Refund</t>
  </si>
  <si>
    <t>Potongan AR</t>
  </si>
  <si>
    <t>Potongan Kasbon</t>
  </si>
  <si>
    <t>Keterlambatan</t>
  </si>
  <si>
    <t>Potongan Minus Audit</t>
  </si>
  <si>
    <t>Potongan Audit Compliance</t>
  </si>
  <si>
    <t>Biaya Pendaftaran Koperasi</t>
  </si>
  <si>
    <t>Simpanan Pokok</t>
  </si>
  <si>
    <t>Simpanan Wajib</t>
  </si>
  <si>
    <t>Total Potongan</t>
  </si>
  <si>
    <t>Gaji Teknisi</t>
  </si>
  <si>
    <t>Nett Bagi hasil</t>
  </si>
  <si>
    <t>Cadangan 7 Tahun / bulan</t>
  </si>
  <si>
    <t>Cadangan 7 Tahun</t>
  </si>
  <si>
    <t>Total Cadangan 7 Tahun</t>
  </si>
  <si>
    <t>JATIMULYA</t>
  </si>
  <si>
    <t>SYARIF HIDAYAT</t>
  </si>
  <si>
    <t>ROBI PRAYOGA</t>
  </si>
  <si>
    <t>IKANG TAUFIK (OPIK)</t>
  </si>
  <si>
    <t>TOTAL</t>
  </si>
  <si>
    <t>DAFTAR BAGI HASIL MFLASH JATIMULYA PT MADINAH MULTIMEDIA TELEKOMUNIKASI</t>
  </si>
  <si>
    <t>TEKNISI HANDPHONE &amp; LAPTOP</t>
  </si>
  <si>
    <t xml:space="preserve">PERIODE: </t>
  </si>
  <si>
    <t>AGUSTUS 2026</t>
  </si>
  <si>
    <t>NO</t>
  </si>
  <si>
    <t>NIK</t>
  </si>
  <si>
    <t>NAMA</t>
  </si>
  <si>
    <t>JABATAN</t>
  </si>
  <si>
    <t>LOKASI KERJA</t>
  </si>
  <si>
    <t xml:space="preserve">Bank </t>
  </si>
  <si>
    <t xml:space="preserve"> No. Rek. </t>
  </si>
  <si>
    <t xml:space="preserve"> A/n </t>
  </si>
  <si>
    <t>DATA REKENING</t>
  </si>
  <si>
    <t>STATUS KARYAWAN</t>
  </si>
  <si>
    <t>TOTAL LABA KOTOR JASA SERVICE HP</t>
  </si>
  <si>
    <t>PENERIMAAN BAGI HASIL</t>
  </si>
  <si>
    <t>PENDAPATAN LAIN-LAIN</t>
  </si>
  <si>
    <t>TOTAL PENDAPATAN</t>
  </si>
  <si>
    <t>BAGI HASIL NETT</t>
  </si>
  <si>
    <t>INFORMASI</t>
  </si>
  <si>
    <t>Teknisi</t>
  </si>
  <si>
    <t>BSI</t>
  </si>
  <si>
    <t>MITRA</t>
  </si>
  <si>
    <t>Jakarta,</t>
  </si>
  <si>
    <t>Approved by</t>
  </si>
  <si>
    <t>Prepared by</t>
  </si>
  <si>
    <t>Deni Darmawan</t>
  </si>
  <si>
    <t>Muhamad Yudisya Andita</t>
  </si>
  <si>
    <t>Galih Permana</t>
  </si>
  <si>
    <t>Zaskanul Tibalky</t>
  </si>
  <si>
    <t>Owner Madinah Group</t>
  </si>
  <si>
    <t>Corcomm</t>
  </si>
  <si>
    <t>Finance &amp; Acc Manager</t>
  </si>
  <si>
    <t>HR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</si>
</sst>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-&quot;Rp&quot;* #,##0_-;\-&quot;Rp&quot;* #,##0_-;_-&quot;Rp&quot;* &quot;-&quot;??_-;_-@"/>
    <numFmt numFmtId="165" formatCode="0.0"/>
    <numFmt numFmtId="166" formatCode="_(* #,##0_);_(* \(#,##0\);_(* &quot;-&quot;_);_(@_)"/>
    <numFmt numFmtId="167" formatCode="_(&quot;Rp&quot;* #,##0_);_(&quot;Rp&quot;* \(#,##0\);_(&quot;Rp&quot;* &quot;-&quot;_);_(@_)"/>
    <numFmt numFmtId="168" formatCode="0000000000000"/>
    <numFmt numFmtId="169" formatCode="_(* #,##0_);_(* \(#,##0\);_(* &quot;-&quot;??_);_(@_)"/>
  </numFmts>
  <fonts count="21">
    <font>
      <sz val="11.0"/>
      <color/>
      <name val="Arial"/>
      <scheme val="minor"/>
    </font>
    <font>
      <sz val="11.0"/>
      <color/>
      <name val="Calibri"/>
    </font>
    <font/>
    <font>
      <b/>
      <sz val="13.0"/>
      <color rgb="FF1F3864"/>
      <name val="Calibri"/>
    </font>
    <font>
      <i/>
      <sz val="9.0"/>
      <color rgb="FF555555"/>
      <name val="Calibri"/>
    </font>
    <font>
      <b/>
      <sz val="10.0"/>
      <color rgb="FFFFFFFF"/>
      <name val="Calibri"/>
    </font>
    <font>
      <b/>
      <sz val="10.0"/>
      <name val="Calibri"/>
    </font>
    <font>
      <b/>
      <sz val="11.0"/>
      <name val="Calibri"/>
    </font>
    <font>
      <sz val="11.0"/>
      <name val="Cambria"/>
    </font>
    <font>
      <b/>
      <sz val="36.0"/>
      <name val="Cambria"/>
    </font>
    <font>
      <sz val="22.0"/>
      <name val="Cambria"/>
    </font>
    <font>
      <b/>
      <sz val="22.0"/>
      <name val="Cambria"/>
    </font>
    <font>
      <i/>
      <sz val="16.0"/>
      <name val="Cambria"/>
    </font>
    <font>
      <b/>
      <sz val="22.0"/>
      <color/>
      <name val="Cambria"/>
    </font>
    <font>
      <sz val="20.0"/>
      <name val="Cambria"/>
    </font>
    <font>
      <sz val="22.0"/>
      <color rgb="FF000000"/>
      <name val="Cambria"/>
    </font>
    <font>
      <sz val="22.0"/>
      <color/>
      <name val="Cambria"/>
    </font>
    <font>
      <b/>
      <sz val="24.0"/>
      <name val="Cambria"/>
    </font>
    <font>
      <b/>
      <sz val="18.0"/>
      <name val="Cambria"/>
    </font>
    <font>
      <b/>
      <sz val="26.0"/>
      <name val="Cambria"/>
    </font>
    <font>
      <sz val="26.0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1F3864"/>
        <bgColor rgb="FF1F3864"/>
      </patternFill>
    </fill>
    <fill>
      <patternFill patternType="solid">
        <fgColor rgb="FFB45309"/>
        <bgColor rgb="FFB45309"/>
      </patternFill>
    </fill>
    <fill>
      <patternFill patternType="solid">
        <fgColor rgb="FFE36C09"/>
        <bgColor rgb="FFE36C09"/>
      </patternFill>
    </fill>
    <fill>
      <patternFill patternType="solid">
        <fgColor rgb="FF166534"/>
        <bgColor rgb="FF166534"/>
      </patternFill>
    </fill>
    <fill>
      <patternFill patternType="solid">
        <fgColor rgb="FFFFF8E1"/>
        <bgColor rgb="FFFFF8E1"/>
      </patternFill>
    </fill>
    <fill>
      <patternFill patternType="solid">
        <fgColor rgb="FFF4F7FB"/>
        <bgColor rgb="FFF4F7FB"/>
      </patternFill>
    </fill>
    <fill>
      <patternFill patternType="solid">
        <fgColor rgb="FFDCE6F1"/>
        <bgColor rgb="FFDCE6F1"/>
      </patternFill>
    </fill>
    <fill>
      <patternFill patternType="solid">
        <fgColor rgb="FFC2D69B"/>
        <bgColor rgb="FFC2D69B"/>
      </patternFill>
    </fill>
    <fill>
      <patternFill patternType="solid">
        <fgColor rgb="FFDBE5F1"/>
        <bgColor rgb="FFDBE5F1"/>
      </patternFill>
    </fill>
    <fill>
      <patternFill patternType="solid">
        <fgColor rgb="FFF2DBDB"/>
        <bgColor rgb="FFF2DBDB"/>
      </patternFill>
    </fill>
    <fill>
      <patternFill patternType="solid">
        <fgColor rgb="FF00B050"/>
        <bgColor rgb="FF00B050"/>
      </patternFill>
    </fill>
  </fills>
  <borders count="1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  <bottom style="medium">
        <color rgb="FF1F3864"/>
      </bottom>
    </border>
    <border>
      <bottom style="thin">
        <color rgb="FFD9D9D9"/>
      </bottom>
    </border>
    <border>
      <left/>
      <right/>
      <top/>
      <bottom style="thin">
        <color rgb="FFD9D9D9"/>
      </bottom>
    </border>
    <border>
      <left/>
      <right/>
      <top style="medium">
        <color rgb="FF1F3864"/>
      </top>
      <bottom/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4" fillId="2" fontId="1" numFmtId="0" xfId="0" applyAlignment="1" applyBorder="1" applyFont="1">
      <alignment horizontal="left" vertical="center"/>
    </xf>
    <xf borderId="4" fillId="2" fontId="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164" xfId="0" applyAlignment="1" applyFont="1" applyNumberFormat="1">
      <alignment vertical="center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5" fillId="3" fontId="1" numFmtId="0" xfId="0" applyAlignment="1" applyBorder="1" applyFill="1" applyFont="1">
      <alignment vertical="bottom"/>
    </xf>
    <xf borderId="0" fillId="0" fontId="1" numFmtId="9" xfId="0" applyAlignment="1" applyFont="1" applyNumberFormat="1">
      <alignment vertical="bottom"/>
    </xf>
    <xf borderId="6" fillId="4" fontId="5" numFmtId="0" xfId="0" applyAlignment="1" applyBorder="1" applyFill="1" applyFont="1">
      <alignment horizontal="center" shrinkToFit="0" vertical="center" wrapText="1"/>
    </xf>
    <xf borderId="6" fillId="2" fontId="6" numFmtId="0" xfId="0" applyAlignment="1" applyBorder="1" applyFont="1">
      <alignment horizontal="center" shrinkToFit="0" vertical="center" wrapText="1"/>
    </xf>
    <xf borderId="6" fillId="5" fontId="5" numFmtId="0" xfId="0" applyAlignment="1" applyBorder="1" applyFill="1" applyFont="1">
      <alignment horizontal="center" shrinkToFit="0" vertical="center" wrapText="1"/>
    </xf>
    <xf borderId="6" fillId="6" fontId="5" numFmtId="0" xfId="0" applyAlignment="1" applyBorder="1" applyFill="1" applyFont="1">
      <alignment horizontal="center" shrinkToFit="0" vertical="center" wrapText="1"/>
    </xf>
    <xf borderId="6" fillId="7" fontId="5" numFmtId="0" xfId="0" applyAlignment="1" applyBorder="1" applyFill="1" applyFont="1">
      <alignment horizontal="center" shrinkToFit="0" vertical="center" wrapText="1"/>
    </xf>
    <xf borderId="7" fillId="0" fontId="1" numFmtId="0" xfId="0" applyAlignment="1" applyBorder="1" applyFont="1">
      <alignment vertical="bottom"/>
    </xf>
    <xf borderId="7" fillId="0" fontId="1" numFmtId="3" xfId="0" applyAlignment="1" applyBorder="1" applyFont="1" applyNumberFormat="1">
      <alignment vertical="bottom"/>
    </xf>
    <xf borderId="7" fillId="0" fontId="1" numFmtId="165" xfId="0" applyAlignment="1" applyBorder="1" applyFont="1" applyNumberFormat="1">
      <alignment vertical="bottom"/>
    </xf>
    <xf borderId="8" fillId="8" fontId="1" numFmtId="3" xfId="0" applyAlignment="1" applyBorder="1" applyFill="1" applyFont="1" applyNumberFormat="1">
      <alignment vertical="bottom"/>
    </xf>
    <xf borderId="8" fillId="9" fontId="1" numFmtId="0" xfId="0" applyAlignment="1" applyBorder="1" applyFill="1" applyFont="1">
      <alignment vertical="bottom"/>
    </xf>
    <xf borderId="8" fillId="9" fontId="1" numFmtId="3" xfId="0" applyAlignment="1" applyBorder="1" applyFont="1" applyNumberFormat="1">
      <alignment vertical="bottom"/>
    </xf>
    <xf borderId="8" fillId="3" fontId="1" numFmtId="3" xfId="0" applyAlignment="1" applyBorder="1" applyFont="1" applyNumberFormat="1">
      <alignment vertical="bottom"/>
    </xf>
    <xf borderId="8" fillId="9" fontId="1" numFmtId="165" xfId="0" applyAlignment="1" applyBorder="1" applyFont="1" applyNumberFormat="1">
      <alignment vertical="bottom"/>
    </xf>
    <xf borderId="9" fillId="10" fontId="7" numFmtId="0" xfId="0" applyAlignment="1" applyBorder="1" applyFill="1" applyFont="1">
      <alignment vertical="bottom"/>
    </xf>
    <xf borderId="9" fillId="10" fontId="7" numFmtId="3" xfId="0" applyAlignment="1" applyBorder="1" applyFont="1" applyNumberFormat="1">
      <alignment vertical="bottom"/>
    </xf>
    <xf borderId="9" fillId="10" fontId="7" numFmtId="165" xfId="0" applyAlignment="1" applyBorder="1" applyFont="1" applyNumberFormat="1">
      <alignment vertical="bottom"/>
    </xf>
    <xf borderId="0" fillId="0" fontId="8" numFmtId="0" xfId="0" applyAlignment="1" applyFont="1">
      <alignment vertical="center"/>
    </xf>
    <xf borderId="0" fillId="0" fontId="8" numFmtId="49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Alignment="1" applyFont="1">
      <alignment horizontal="left" shrinkToFit="0" vertical="center" wrapText="1"/>
    </xf>
    <xf quotePrefix="1" borderId="0" fillId="0" fontId="9" numFmtId="17" xfId="0" applyAlignment="1" applyFont="1" applyNumberFormat="1">
      <alignment vertical="center"/>
    </xf>
    <xf borderId="0" fillId="0" fontId="10" numFmtId="0" xfId="0" applyAlignment="1" applyFont="1">
      <alignment vertical="center"/>
    </xf>
    <xf borderId="0" fillId="0" fontId="11" numFmtId="49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vertical="center"/>
    </xf>
    <xf borderId="0" fillId="0" fontId="12" numFmtId="0" xfId="0" applyAlignment="1" applyFont="1">
      <alignment horizontal="center" vertical="center"/>
    </xf>
    <xf borderId="0" fillId="0" fontId="10" numFmtId="0" xfId="0" applyAlignment="1" applyFont="1">
      <alignment shrinkToFit="0" vertical="center" wrapText="1"/>
    </xf>
    <xf borderId="4" fillId="11" fontId="11" numFmtId="0" xfId="0" applyAlignment="1" applyBorder="1" applyFill="1" applyFont="1">
      <alignment horizontal="center" shrinkToFit="0" vertical="center" wrapText="1"/>
    </xf>
    <xf borderId="4" fillId="11" fontId="11" numFmtId="49" xfId="0" applyAlignment="1" applyBorder="1" applyFont="1" applyNumberFormat="1">
      <alignment horizontal="center" shrinkToFit="0" vertical="center" wrapText="1"/>
    </xf>
    <xf borderId="4" fillId="12" fontId="11" numFmtId="0" xfId="0" applyAlignment="1" applyBorder="1" applyFill="1" applyFont="1">
      <alignment horizontal="center" shrinkToFit="0" vertical="center" wrapText="1"/>
    </xf>
    <xf borderId="4" fillId="13" fontId="11" numFmtId="0" xfId="0" applyAlignment="1" applyBorder="1" applyFill="1" applyFont="1">
      <alignment horizontal="center" shrinkToFit="0" vertical="center" wrapText="1"/>
    </xf>
    <xf borderId="4" fillId="14" fontId="13" numFmtId="0" xfId="0" applyAlignment="1" applyBorder="1" applyFill="1" applyFont="1">
      <alignment horizontal="center" shrinkToFit="0" vertical="center" wrapText="1"/>
    </xf>
    <xf borderId="4" fillId="0" fontId="11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shrinkToFit="0" vertical="center" wrapText="1"/>
    </xf>
    <xf borderId="4" fillId="0" fontId="10" numFmtId="0" xfId="0" applyAlignment="1" applyBorder="1" applyFont="1">
      <alignment horizontal="center" shrinkToFit="0" vertical="center" wrapText="1"/>
    </xf>
    <xf borderId="4" fillId="2" fontId="15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left" shrinkToFit="0" vertical="center" wrapText="1"/>
    </xf>
    <xf borderId="4" fillId="0" fontId="16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vertical="center"/>
    </xf>
    <xf borderId="4" fillId="0" fontId="15" numFmtId="166" xfId="0" applyAlignment="1" applyBorder="1" applyFont="1" applyNumberFormat="1">
      <alignment vertical="center"/>
    </xf>
    <xf borderId="4" fillId="0" fontId="10" numFmtId="166" xfId="0" applyAlignment="1" applyBorder="1" applyFont="1" applyNumberFormat="1">
      <alignment horizontal="center" shrinkToFit="0" vertical="center" wrapText="1"/>
    </xf>
    <xf borderId="4" fillId="0" fontId="14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center" wrapText="1"/>
    </xf>
    <xf borderId="1" fillId="0" fontId="17" numFmtId="0" xfId="0" applyAlignment="1" applyBorder="1" applyFont="1">
      <alignment horizontal="center" vertical="center"/>
    </xf>
    <xf borderId="4" fillId="0" fontId="17" numFmtId="167" xfId="0" applyAlignment="1" applyBorder="1" applyFont="1" applyNumberFormat="1">
      <alignment horizontal="center" shrinkToFit="0" vertical="center" wrapText="1"/>
    </xf>
    <xf borderId="4" fillId="0" fontId="18" numFmtId="0" xfId="0" applyAlignment="1" applyBorder="1" applyFont="1">
      <alignment shrinkToFit="0" vertical="center" wrapText="1"/>
    </xf>
    <xf borderId="0" fillId="0" fontId="18" numFmtId="0" xfId="0" applyAlignment="1" applyFont="1">
      <alignment vertical="center"/>
    </xf>
    <xf borderId="0" fillId="0" fontId="19" numFmtId="0" xfId="0" applyAlignment="1" applyFont="1">
      <alignment horizontal="right" vertical="center"/>
    </xf>
    <xf borderId="0" fillId="0" fontId="19" numFmtId="14" xfId="0" applyAlignment="1" applyFont="1" applyNumberFormat="1">
      <alignment horizontal="right" vertical="center"/>
    </xf>
    <xf borderId="0" fillId="0" fontId="10" numFmtId="167" xfId="0" applyAlignment="1" applyFont="1" applyNumberFormat="1">
      <alignment vertical="center"/>
    </xf>
    <xf borderId="0" fillId="0" fontId="20" numFmtId="0" xfId="0" applyAlignment="1" applyFont="1">
      <alignment vertical="center"/>
    </xf>
    <xf borderId="0" fillId="0" fontId="19" numFmtId="168" xfId="0" applyAlignment="1" applyFont="1" applyNumberFormat="1">
      <alignment horizontal="center" vertical="center"/>
    </xf>
    <xf borderId="0" fillId="0" fontId="19" numFmtId="0" xfId="0" applyAlignment="1" applyFont="1">
      <alignment horizontal="center" vertical="center"/>
    </xf>
    <xf borderId="0" fillId="0" fontId="19" numFmtId="166" xfId="0" applyAlignment="1" applyFont="1" applyNumberFormat="1">
      <alignment horizontal="center" vertical="center"/>
    </xf>
    <xf borderId="0" fillId="0" fontId="19" numFmtId="166" xfId="0" applyAlignment="1" applyFont="1" applyNumberFormat="1">
      <alignment vertical="center"/>
    </xf>
    <xf borderId="0" fillId="0" fontId="19" numFmtId="0" xfId="0" applyAlignment="1" applyFont="1">
      <alignment horizontal="left" vertical="center"/>
    </xf>
    <xf borderId="0" fillId="0" fontId="20" numFmtId="169" xfId="0" applyAlignment="1" applyFont="1" applyNumberFormat="1">
      <alignment vertical="center"/>
    </xf>
    <xf borderId="0" fillId="0" fontId="20" numFmtId="167" xfId="0" applyAlignment="1" applyFont="1" applyNumberFormat="1">
      <alignment vertical="center"/>
    </xf>
    <xf borderId="0" fillId="0" fontId="20" numFmtId="166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0</xdr:row>
      <xdr:rowOff>104775</xdr:rowOff>
    </xdr:from>
    <xdr:ext cx="0" cy="1466850"/>
    <xdr:sp macro="" textlink="">
      <xdr:nvSpPr>
        <xdr:cNvPr id="2" name="Rounded Rectangle 1">
          <a:extLst>
            <a:ext uri="{FF2B5EF4-FFF2-40B4-BE49-F238E27FC236}"/>
          </a:extLst>
        </xdr:cNvPr>
        <xdr:cNvSpPr/>
      </xdr:nvSpPr>
      <xdr:spPr>
        <a:xfrm>
          <a:off x="56788050" y="109855"/>
          <a:ext cx="0" cy="1466850"/>
        </a:xfrm>
        <a:prstGeom prst="roundRect">
          <a:avLst/>
        </a:prstGeom>
        <a:solidFill>
          <a:schemeClr val="accent1"/>
        </a:solidFill>
        <a:ln cap="flat" cmpd="sng" w="25400" algn="ctr">
          <a:solidFill>
            <a:schemeClr val="accent1">
              <a:shade val="5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ctr" rtlCol="0" horzOverflow="clip" vertOverflow="clip"/>
        <a:lstStyle/>
        <a:p>
          <a:pPr lvl="0" algn="ctr"/>
          <a:r>
            <a:rPr b="1" i="1" lang="en-US" sz="4000"/>
            <a:t>RUMUS</a:t>
          </a:r>
          <a:endParaRPr b="1" i="1" lang="en-US" sz="40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20.29"/>
    <col customWidth="1" min="3" max="3" width="8.71"/>
    <col customWidth="1" min="4" max="4" width="29.0"/>
    <col customWidth="1" min="5" max="5" width="20.29"/>
    <col customWidth="1" min="6" max="11" width="8.71"/>
  </cols>
  <sheetData>
    <row r="1">
      <c r="A1" s="1" t="s">
        <v>0</v>
      </c>
      <c r="B1" s="2"/>
      <c r="C1" s="2"/>
      <c r="D1" s="2"/>
      <c r="E1" s="3"/>
    </row>
    <row r="2">
      <c r="A2" s="4" t="s">
        <v>1</v>
      </c>
      <c r="B2" s="5" t="s">
        <v>2</v>
      </c>
      <c r="D2" s="5" t="s">
        <v>3</v>
      </c>
      <c r="E2" s="5" t="s">
        <v>4</v>
      </c>
    </row>
    <row r="3">
      <c r="A3" s="6" t="s">
        <v>5</v>
      </c>
      <c r="B3" t="s">
        <v>6</v>
      </c>
      <c r="D3" s="6" t="s">
        <v>5</v>
      </c>
      <c r="E3" t="s">
        <v>6</v>
      </c>
    </row>
    <row r="4">
      <c r="A4" s="6" t="s">
        <v>7</v>
      </c>
      <c r="B4" t="s">
        <v>8</v>
      </c>
      <c r="D4" s="6" t="s">
        <v>7</v>
      </c>
      <c r="E4" t="s">
        <v>8</v>
      </c>
    </row>
    <row r="6">
      <c r="A6" s="6" t="s">
        <v>9</v>
      </c>
      <c r="B6" t="s">
        <v>10</v>
      </c>
      <c r="D6" s="6" t="s">
        <v>9</v>
      </c>
      <c r="E6" t="s">
        <v>10</v>
      </c>
    </row>
    <row r="7">
      <c r="A7" s="7" t="s">
        <v>11</v>
      </c>
      <c r="B7" s="8">
        <v>1.8425E7</v>
      </c>
      <c r="D7" s="7" t="s">
        <v>11</v>
      </c>
      <c r="E7" s="8">
        <v>1.5345E7</v>
      </c>
    </row>
    <row r="8">
      <c r="A8" s="7" t="s">
        <v>12</v>
      </c>
      <c r="B8" s="8">
        <v>2.7655425E7</v>
      </c>
      <c r="D8" s="7" t="s">
        <v>12</v>
      </c>
      <c r="E8" s="8">
        <v>9822000.0</v>
      </c>
    </row>
    <row r="9">
      <c r="A9" s="7" t="s">
        <v>13</v>
      </c>
      <c r="B9" s="8">
        <v>4.6080425E7</v>
      </c>
      <c r="D9" s="7" t="s">
        <v>13</v>
      </c>
      <c r="E9" s="8">
        <v>2.5167E7</v>
      </c>
    </row>
    <row r="10">
      <c r="A10" s="7"/>
      <c r="D10" s="7"/>
    </row>
    <row r="11">
      <c r="A11" s="4" t="s">
        <v>1</v>
      </c>
      <c r="B11" s="5" t="s">
        <v>14</v>
      </c>
    </row>
    <row r="12">
      <c r="A12" s="6" t="s">
        <v>5</v>
      </c>
      <c r="B12" t="s">
        <v>6</v>
      </c>
    </row>
    <row r="13">
      <c r="A13" s="6" t="s">
        <v>7</v>
      </c>
      <c r="B13" t="s">
        <v>15</v>
      </c>
    </row>
    <row r="15">
      <c r="A15" s="6" t="s">
        <v>9</v>
      </c>
      <c r="B15" t="s">
        <v>10</v>
      </c>
    </row>
    <row r="16">
      <c r="A16" s="7" t="s">
        <v>16</v>
      </c>
      <c r="B16" s="8">
        <v>1.6474E7</v>
      </c>
    </row>
    <row r="17">
      <c r="A17" s="7" t="s">
        <v>17</v>
      </c>
      <c r="B17" s="8">
        <v>2.6552E7</v>
      </c>
    </row>
    <row r="18">
      <c r="A18" s="7" t="s">
        <v>18</v>
      </c>
      <c r="B18" s="8">
        <v>1139000.0</v>
      </c>
    </row>
    <row r="19">
      <c r="A19" s="7" t="s">
        <v>19</v>
      </c>
      <c r="B19" s="8">
        <v>1.52E7</v>
      </c>
    </row>
    <row r="20">
      <c r="A20" s="7" t="s">
        <v>20</v>
      </c>
      <c r="B20" s="8">
        <v>1.9835045E7</v>
      </c>
    </row>
    <row r="21" ht="15.75" customHeight="1">
      <c r="A21" s="7" t="s">
        <v>13</v>
      </c>
      <c r="B21" s="8">
        <v>7.9200045E7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0"/>
    <col customWidth="1" min="2" max="2" width="11.0"/>
    <col customWidth="1" min="3" max="3" width="10.0"/>
    <col customWidth="1" min="4" max="4" width="17.0"/>
    <col customWidth="1" min="5" max="5" width="14.0"/>
    <col customWidth="1" min="6" max="6" width="18.0"/>
    <col customWidth="1" min="7" max="7" width="13.0"/>
    <col customWidth="1" min="8" max="8" width="15.0"/>
    <col customWidth="1" min="9" max="9" width="20.0"/>
    <col customWidth="1" min="10" max="10" width="22.0"/>
    <col customWidth="1" min="11" max="11" width="20.14"/>
    <col customWidth="1" min="12" max="12" width="23.0"/>
    <col customWidth="1" min="13" max="13" width="18.0"/>
    <col customWidth="1" min="14" max="14" width="20.0"/>
    <col customWidth="1" min="15" max="15" width="21.0"/>
    <col customWidth="1" min="16" max="16" width="16.0"/>
    <col customWidth="1" min="17" max="17" width="12.0"/>
    <col customWidth="1" min="18" max="18" width="11.0"/>
    <col customWidth="1" min="19" max="19" width="17.0"/>
    <col customWidth="1" min="20" max="20" width="13.0"/>
    <col customWidth="1" min="21" max="21" width="17.0"/>
    <col customWidth="1" min="22" max="22" width="15.0"/>
    <col customWidth="1" min="23" max="23" width="22.0"/>
    <col customWidth="1" min="24" max="24" width="27.0"/>
    <col customWidth="1" min="25" max="25" width="28.0"/>
    <col customWidth="1" min="26" max="28" width="16.0"/>
    <col customWidth="1" min="29" max="29" width="14.0"/>
    <col customWidth="1" min="30" max="30" width="17.0"/>
    <col customWidth="1" min="31" max="31" width="26.0"/>
    <col customWidth="1" min="32" max="32" width="18.0"/>
    <col customWidth="1" min="33" max="33" width="24.0"/>
  </cols>
  <sheetData>
    <row r="1">
      <c r="A1" s="9" t="s">
        <v>21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1" t="s">
        <v>22</v>
      </c>
      <c r="B2" s="10"/>
      <c r="C2" s="10"/>
      <c r="D2" s="10"/>
      <c r="E2" s="10"/>
      <c r="F2" s="10"/>
      <c r="G2" s="10"/>
      <c r="H2" s="10"/>
      <c r="I2" s="10"/>
      <c r="J2" s="10"/>
      <c r="K2" s="12" t="s">
        <v>23</v>
      </c>
      <c r="L2" s="12" t="s">
        <v>24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>
      <c r="A3" s="10"/>
      <c r="B3" s="10"/>
      <c r="C3" s="10"/>
      <c r="D3" s="10"/>
      <c r="E3" s="10"/>
      <c r="F3" s="10"/>
      <c r="G3" s="10"/>
      <c r="H3" s="10"/>
      <c r="I3" s="10"/>
      <c r="J3" s="13">
        <v>0.2</v>
      </c>
      <c r="K3" s="13">
        <v>0.3</v>
      </c>
      <c r="L3" s="13">
        <v>0.32</v>
      </c>
      <c r="M3" s="13">
        <v>0.6</v>
      </c>
      <c r="N3" s="13">
        <v>0.3</v>
      </c>
      <c r="O3" s="10"/>
      <c r="P3" s="10"/>
      <c r="Q3" s="10"/>
      <c r="R3" s="10"/>
      <c r="S3" s="13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>
      <c r="A4" s="14" t="s">
        <v>25</v>
      </c>
      <c r="B4" s="14" t="s">
        <v>26</v>
      </c>
      <c r="C4" s="14" t="s">
        <v>27</v>
      </c>
      <c r="D4" s="14" t="s">
        <v>28</v>
      </c>
      <c r="E4" s="14" t="s">
        <v>29</v>
      </c>
      <c r="F4" s="14" t="s">
        <v>30</v>
      </c>
      <c r="G4" s="14" t="s">
        <v>31</v>
      </c>
      <c r="H4" s="14" t="s">
        <v>32</v>
      </c>
      <c r="I4" s="14" t="s">
        <v>33</v>
      </c>
      <c r="J4" s="15" t="s">
        <v>34</v>
      </c>
      <c r="K4" s="15" t="s">
        <v>35</v>
      </c>
      <c r="L4" s="15" t="s">
        <v>36</v>
      </c>
      <c r="M4" s="15" t="s">
        <v>37</v>
      </c>
      <c r="N4" s="15" t="s">
        <v>38</v>
      </c>
      <c r="O4" s="15" t="s">
        <v>39</v>
      </c>
      <c r="P4" s="14" t="s">
        <v>40</v>
      </c>
      <c r="Q4" s="14" t="s">
        <v>41</v>
      </c>
      <c r="R4" s="14" t="s">
        <v>42</v>
      </c>
      <c r="S4" s="16" t="s">
        <v>43</v>
      </c>
      <c r="T4" s="16" t="s">
        <v>44</v>
      </c>
      <c r="U4" s="16" t="s">
        <v>45</v>
      </c>
      <c r="V4" s="16" t="s">
        <v>46</v>
      </c>
      <c r="W4" s="16" t="s">
        <v>47</v>
      </c>
      <c r="X4" s="16" t="s">
        <v>48</v>
      </c>
      <c r="Y4" s="16" t="s">
        <v>49</v>
      </c>
      <c r="Z4" s="16" t="s">
        <v>50</v>
      </c>
      <c r="AA4" s="16" t="s">
        <v>51</v>
      </c>
      <c r="AB4" s="17" t="s">
        <v>52</v>
      </c>
      <c r="AC4" s="18" t="s">
        <v>53</v>
      </c>
      <c r="AD4" s="18" t="s">
        <v>54</v>
      </c>
      <c r="AE4" s="16" t="s">
        <v>55</v>
      </c>
      <c r="AF4" s="16" t="s">
        <v>56</v>
      </c>
      <c r="AG4" s="18" t="s">
        <v>57</v>
      </c>
    </row>
    <row r="5">
      <c r="A5" s="19" t="s">
        <v>11</v>
      </c>
      <c r="B5" s="19" t="s">
        <v>58</v>
      </c>
      <c r="C5" s="20">
        <v>69.0</v>
      </c>
      <c r="D5" s="20">
        <v>1.4844E7</v>
      </c>
      <c r="E5" s="20">
        <v>2.1284E7</v>
      </c>
      <c r="F5" s="20">
        <v>3922000.0</v>
      </c>
      <c r="G5" s="20">
        <v>0.0</v>
      </c>
      <c r="H5" s="20">
        <v>350000.0</v>
      </c>
      <c r="I5" s="20">
        <v>4.04E7</v>
      </c>
      <c r="J5" s="20" t="str">
        <f t="shared" ref="J5:J12" si="1">D5*$J$3</f>
        <v>2,968,800</v>
      </c>
      <c r="K5" s="20" t="str">
        <f>E5*$K$3</f>
        <v>6,385,200</v>
      </c>
      <c r="L5" s="20" t="str">
        <f>F5*$L$3</f>
        <v>1,255,040</v>
      </c>
      <c r="M5" s="20" t="str">
        <f t="shared" ref="M5:M12" si="2">G5*$M$3</f>
        <v>0</v>
      </c>
      <c r="N5" s="20" t="str">
        <f t="shared" ref="N5:N12" si="3">H5*$N$3</f>
        <v>105,000</v>
      </c>
      <c r="O5" s="20" t="str">
        <f t="shared" ref="O5:O12" si="4">SUM(J5:N5)</f>
        <v>10,714,040</v>
      </c>
      <c r="P5" s="20" t="str">
        <f t="shared" ref="P5:P12" si="5">I5*30%</f>
        <v>12,120,000</v>
      </c>
      <c r="Q5" s="20" t="str">
        <f t="shared" ref="Q5:Q12" si="6">O5-P5</f>
        <v>-1,405,960</v>
      </c>
      <c r="R5" s="21">
        <v>26.5</v>
      </c>
      <c r="S5" s="22"/>
      <c r="T5" s="22"/>
      <c r="U5" s="22"/>
      <c r="V5" s="22"/>
      <c r="W5" s="22"/>
      <c r="X5" s="22"/>
      <c r="Y5" s="22"/>
      <c r="Z5" s="22"/>
      <c r="AA5" s="22">
        <v>100000.0</v>
      </c>
      <c r="AB5" s="20" t="str">
        <f t="shared" ref="AB5:AB12" si="7">SUM(S5:AA5)</f>
        <v>100,000</v>
      </c>
      <c r="AC5" s="20">
        <v>0.0</v>
      </c>
      <c r="AD5" s="20" t="str">
        <f t="shared" ref="AD5:AD12" si="8">O5-AB5</f>
        <v>10,614,040</v>
      </c>
      <c r="AE5" s="22"/>
      <c r="AF5" s="22"/>
      <c r="AG5" s="20" t="str">
        <f t="shared" ref="AG5:AG12" si="9">AE5+AF5</f>
        <v>0</v>
      </c>
    </row>
    <row r="6">
      <c r="A6" s="23" t="s">
        <v>12</v>
      </c>
      <c r="B6" s="23" t="s">
        <v>58</v>
      </c>
      <c r="C6" s="24">
        <v>149.0</v>
      </c>
      <c r="D6" s="24">
        <v>9963500.0</v>
      </c>
      <c r="E6" s="24">
        <v>1.0939E7</v>
      </c>
      <c r="F6" s="24">
        <v>5469000.0</v>
      </c>
      <c r="G6" s="24">
        <v>0.0</v>
      </c>
      <c r="H6" s="24">
        <v>7752000.0</v>
      </c>
      <c r="I6" s="24">
        <v>3.41235E7</v>
      </c>
      <c r="J6" s="20" t="str">
        <f t="shared" si="1"/>
        <v>1,992,700</v>
      </c>
      <c r="K6" s="25" t="str">
        <f>E6*35.5%</f>
        <v>3,883,345</v>
      </c>
      <c r="L6" s="25" t="str">
        <f>F6*37.5%</f>
        <v>2,050,875</v>
      </c>
      <c r="M6" s="20" t="str">
        <f t="shared" si="2"/>
        <v>0</v>
      </c>
      <c r="N6" s="20" t="str">
        <f t="shared" si="3"/>
        <v>2,325,600</v>
      </c>
      <c r="O6" s="20" t="str">
        <f t="shared" si="4"/>
        <v>10,252,520</v>
      </c>
      <c r="P6" s="20" t="str">
        <f t="shared" si="5"/>
        <v>10,237,050</v>
      </c>
      <c r="Q6" s="20" t="str">
        <f t="shared" si="6"/>
        <v>15,470</v>
      </c>
      <c r="R6" s="26">
        <v>30.0</v>
      </c>
      <c r="S6" s="22"/>
      <c r="T6" s="22"/>
      <c r="U6" s="22">
        <v>343805.0</v>
      </c>
      <c r="V6" s="22"/>
      <c r="W6" s="22"/>
      <c r="X6" s="22"/>
      <c r="Y6" s="22"/>
      <c r="Z6" s="22"/>
      <c r="AA6" s="22">
        <v>100000.0</v>
      </c>
      <c r="AB6" s="24" t="str">
        <f t="shared" si="7"/>
        <v>443,805</v>
      </c>
      <c r="AC6" s="20">
        <v>0.0</v>
      </c>
      <c r="AD6" s="20" t="str">
        <f t="shared" si="8"/>
        <v>9,808,715</v>
      </c>
      <c r="AE6" s="22"/>
      <c r="AF6" s="22"/>
      <c r="AG6" s="24" t="str">
        <f t="shared" si="9"/>
        <v>0</v>
      </c>
    </row>
    <row r="7">
      <c r="A7" s="19" t="s">
        <v>59</v>
      </c>
      <c r="B7" s="19" t="s">
        <v>58</v>
      </c>
      <c r="C7" s="20">
        <v>89.0</v>
      </c>
      <c r="D7" s="20">
        <v>1.3257E7</v>
      </c>
      <c r="E7" s="20">
        <v>8620000.0</v>
      </c>
      <c r="F7" s="20">
        <v>9462000.0</v>
      </c>
      <c r="G7" s="20">
        <v>0.0</v>
      </c>
      <c r="H7" s="20">
        <v>0.0</v>
      </c>
      <c r="I7" s="20">
        <v>3.1339E7</v>
      </c>
      <c r="J7" s="20" t="str">
        <f t="shared" si="1"/>
        <v>2,651,400</v>
      </c>
      <c r="K7" s="20" t="str">
        <f t="shared" ref="K7:K12" si="10">E7*$K$3</f>
        <v>2,586,000</v>
      </c>
      <c r="L7" s="20" t="str">
        <f t="shared" ref="L7:L12" si="11">F7*$L$3</f>
        <v>3,027,840</v>
      </c>
      <c r="M7" s="20" t="str">
        <f t="shared" si="2"/>
        <v>0</v>
      </c>
      <c r="N7" s="20" t="str">
        <f t="shared" si="3"/>
        <v>0</v>
      </c>
      <c r="O7" s="20" t="str">
        <f t="shared" si="4"/>
        <v>8,265,240</v>
      </c>
      <c r="P7" s="20" t="str">
        <f t="shared" si="5"/>
        <v>9,401,700</v>
      </c>
      <c r="Q7" s="20" t="str">
        <f t="shared" si="6"/>
        <v>-1,136,460</v>
      </c>
      <c r="R7" s="21">
        <v>26.4</v>
      </c>
      <c r="S7" s="22" t="str">
        <f>281000*30%</f>
        <v>84,300</v>
      </c>
      <c r="T7" s="22"/>
      <c r="U7" s="22"/>
      <c r="V7" s="22"/>
      <c r="W7" s="22"/>
      <c r="X7" s="22"/>
      <c r="Y7" s="22"/>
      <c r="Z7" s="22"/>
      <c r="AA7" s="22">
        <v>100000.0</v>
      </c>
      <c r="AB7" s="20" t="str">
        <f t="shared" si="7"/>
        <v>184,300</v>
      </c>
      <c r="AC7" s="20">
        <v>0.0</v>
      </c>
      <c r="AD7" s="20" t="str">
        <f t="shared" si="8"/>
        <v>8,080,940</v>
      </c>
      <c r="AE7" s="22"/>
      <c r="AF7" s="22"/>
      <c r="AG7" s="20" t="str">
        <f t="shared" si="9"/>
        <v>0</v>
      </c>
    </row>
    <row r="8">
      <c r="A8" s="23" t="s">
        <v>17</v>
      </c>
      <c r="B8" s="23" t="s">
        <v>58</v>
      </c>
      <c r="C8" s="24">
        <v>56.0</v>
      </c>
      <c r="D8" s="24">
        <v>1.1493E7</v>
      </c>
      <c r="E8" s="24">
        <v>1.0488E7</v>
      </c>
      <c r="F8" s="24">
        <v>1331000.0</v>
      </c>
      <c r="G8" s="24">
        <v>0.0</v>
      </c>
      <c r="H8" s="24">
        <v>0.0</v>
      </c>
      <c r="I8" s="24">
        <v>2.3312E7</v>
      </c>
      <c r="J8" s="20" t="str">
        <f t="shared" si="1"/>
        <v>2,298,600</v>
      </c>
      <c r="K8" s="20" t="str">
        <f t="shared" si="10"/>
        <v>3,146,400</v>
      </c>
      <c r="L8" s="20" t="str">
        <f t="shared" si="11"/>
        <v>425,920</v>
      </c>
      <c r="M8" s="20" t="str">
        <f t="shared" si="2"/>
        <v>0</v>
      </c>
      <c r="N8" s="20" t="str">
        <f t="shared" si="3"/>
        <v>0</v>
      </c>
      <c r="O8" s="20" t="str">
        <f t="shared" si="4"/>
        <v>5,870,920</v>
      </c>
      <c r="P8" s="20" t="str">
        <f t="shared" si="5"/>
        <v>6,993,600</v>
      </c>
      <c r="Q8" s="20" t="str">
        <f t="shared" si="6"/>
        <v>-1,122,680</v>
      </c>
      <c r="R8" s="26">
        <v>25.2</v>
      </c>
      <c r="S8" s="22" t="str">
        <f>200000*30%</f>
        <v>60,000</v>
      </c>
      <c r="T8" s="22"/>
      <c r="U8" s="22"/>
      <c r="V8" s="22"/>
      <c r="W8" s="22"/>
      <c r="X8" s="22"/>
      <c r="Y8" s="22"/>
      <c r="Z8" s="22"/>
      <c r="AA8" s="22">
        <v>100000.0</v>
      </c>
      <c r="AB8" s="24" t="str">
        <f t="shared" si="7"/>
        <v>160,000</v>
      </c>
      <c r="AC8" s="20">
        <v>0.0</v>
      </c>
      <c r="AD8" s="20" t="str">
        <f t="shared" si="8"/>
        <v>5,710,920</v>
      </c>
      <c r="AE8" s="22" t="str">
        <f>I8*5%</f>
        <v>1,165,600</v>
      </c>
      <c r="AF8" s="22">
        <v>5.156060515E7</v>
      </c>
      <c r="AG8" s="24" t="str">
        <f t="shared" si="9"/>
        <v>52,726,205</v>
      </c>
    </row>
    <row r="9">
      <c r="A9" s="19" t="s">
        <v>60</v>
      </c>
      <c r="B9" s="19" t="s">
        <v>58</v>
      </c>
      <c r="C9" s="20">
        <v>115.0</v>
      </c>
      <c r="D9" s="20">
        <v>1.3636E7</v>
      </c>
      <c r="E9" s="20">
        <v>4399000.0</v>
      </c>
      <c r="F9" s="20">
        <v>0.0</v>
      </c>
      <c r="G9" s="20">
        <v>0.0</v>
      </c>
      <c r="H9" s="20">
        <v>731000.0</v>
      </c>
      <c r="I9" s="20">
        <v>1.8766E7</v>
      </c>
      <c r="J9" s="20" t="str">
        <f t="shared" si="1"/>
        <v>2,727,200</v>
      </c>
      <c r="K9" s="20" t="str">
        <f t="shared" si="10"/>
        <v>1,319,700</v>
      </c>
      <c r="L9" s="20" t="str">
        <f t="shared" si="11"/>
        <v>0</v>
      </c>
      <c r="M9" s="20" t="str">
        <f t="shared" si="2"/>
        <v>0</v>
      </c>
      <c r="N9" s="20" t="str">
        <f t="shared" si="3"/>
        <v>219,300</v>
      </c>
      <c r="O9" s="20" t="str">
        <f t="shared" si="4"/>
        <v>4,266,200</v>
      </c>
      <c r="P9" s="20" t="str">
        <f t="shared" si="5"/>
        <v>5,629,800</v>
      </c>
      <c r="Q9" s="20" t="str">
        <f t="shared" si="6"/>
        <v>-1,363,600</v>
      </c>
      <c r="R9" s="21">
        <v>22.7</v>
      </c>
      <c r="S9" s="22" t="str">
        <f>135000*20%</f>
        <v>27,000</v>
      </c>
      <c r="T9" s="22"/>
      <c r="U9" s="22"/>
      <c r="V9" s="22"/>
      <c r="W9" s="22"/>
      <c r="X9" s="22"/>
      <c r="Y9" s="22">
        <v>30000.0</v>
      </c>
      <c r="Z9" s="22">
        <v>100000.0</v>
      </c>
      <c r="AA9" s="22"/>
      <c r="AB9" s="20" t="str">
        <f t="shared" si="7"/>
        <v>157,000</v>
      </c>
      <c r="AC9" s="20">
        <v>0.0</v>
      </c>
      <c r="AD9" s="20" t="str">
        <f t="shared" si="8"/>
        <v>4,109,200</v>
      </c>
      <c r="AE9" s="22"/>
      <c r="AF9" s="22"/>
      <c r="AG9" s="20" t="str">
        <f t="shared" si="9"/>
        <v>0</v>
      </c>
    </row>
    <row r="10">
      <c r="A10" s="23" t="s">
        <v>16</v>
      </c>
      <c r="B10" s="23" t="s">
        <v>58</v>
      </c>
      <c r="C10" s="24">
        <v>102.0</v>
      </c>
      <c r="D10" s="24">
        <v>9935750.0</v>
      </c>
      <c r="E10" s="24">
        <v>6455500.0</v>
      </c>
      <c r="F10" s="24">
        <v>135000.0</v>
      </c>
      <c r="G10" s="24">
        <v>0.0</v>
      </c>
      <c r="H10" s="24">
        <v>625000.0</v>
      </c>
      <c r="I10" s="24">
        <v>1.715125E7</v>
      </c>
      <c r="J10" s="20" t="str">
        <f t="shared" si="1"/>
        <v>1,987,150</v>
      </c>
      <c r="K10" s="20" t="str">
        <f t="shared" si="10"/>
        <v>1,936,650</v>
      </c>
      <c r="L10" s="20" t="str">
        <f t="shared" si="11"/>
        <v>43,200</v>
      </c>
      <c r="M10" s="20" t="str">
        <f t="shared" si="2"/>
        <v>0</v>
      </c>
      <c r="N10" s="20" t="str">
        <f t="shared" si="3"/>
        <v>187,500</v>
      </c>
      <c r="O10" s="20" t="str">
        <f t="shared" si="4"/>
        <v>4,154,500</v>
      </c>
      <c r="P10" s="20" t="str">
        <f t="shared" si="5"/>
        <v>5,145,375</v>
      </c>
      <c r="Q10" s="20" t="str">
        <f t="shared" si="6"/>
        <v>-990,875</v>
      </c>
      <c r="R10" s="26">
        <v>24.2</v>
      </c>
      <c r="S10" s="22" t="str">
        <f>400000*30%</f>
        <v>120,000</v>
      </c>
      <c r="T10" s="22"/>
      <c r="U10" s="22"/>
      <c r="V10" s="22"/>
      <c r="W10" s="22"/>
      <c r="X10" s="22"/>
      <c r="Y10" s="22"/>
      <c r="Z10" s="22"/>
      <c r="AA10" s="22">
        <v>100000.0</v>
      </c>
      <c r="AB10" s="24" t="str">
        <f t="shared" si="7"/>
        <v>220,000</v>
      </c>
      <c r="AC10" s="20">
        <v>0.0</v>
      </c>
      <c r="AD10" s="20" t="str">
        <f t="shared" si="8"/>
        <v>3,934,500</v>
      </c>
      <c r="AE10" s="22"/>
      <c r="AF10" s="22"/>
      <c r="AG10" s="24" t="str">
        <f t="shared" si="9"/>
        <v>0</v>
      </c>
    </row>
    <row r="11">
      <c r="A11" s="19" t="s">
        <v>20</v>
      </c>
      <c r="B11" s="19" t="s">
        <v>58</v>
      </c>
      <c r="C11" s="20">
        <v>1.0</v>
      </c>
      <c r="D11" s="20">
        <v>0.0</v>
      </c>
      <c r="E11" s="20">
        <v>331000.0</v>
      </c>
      <c r="F11" s="20">
        <v>0.0</v>
      </c>
      <c r="G11" s="20">
        <v>0.0</v>
      </c>
      <c r="H11" s="20">
        <v>0.0</v>
      </c>
      <c r="I11" s="20">
        <v>331000.0</v>
      </c>
      <c r="J11" s="20" t="str">
        <f t="shared" si="1"/>
        <v>0</v>
      </c>
      <c r="K11" s="20" t="str">
        <f t="shared" si="10"/>
        <v>99,300</v>
      </c>
      <c r="L11" s="20" t="str">
        <f t="shared" si="11"/>
        <v>0</v>
      </c>
      <c r="M11" s="20" t="str">
        <f t="shared" si="2"/>
        <v>0</v>
      </c>
      <c r="N11" s="20" t="str">
        <f t="shared" si="3"/>
        <v>0</v>
      </c>
      <c r="O11" s="20" t="str">
        <f t="shared" si="4"/>
        <v>99,300</v>
      </c>
      <c r="P11" s="20" t="str">
        <f t="shared" si="5"/>
        <v>99,300</v>
      </c>
      <c r="Q11" s="20" t="str">
        <f t="shared" si="6"/>
        <v>0</v>
      </c>
      <c r="R11" s="21">
        <v>30.0</v>
      </c>
      <c r="S11" s="22" t="str">
        <f>175000*30%</f>
        <v>52,500</v>
      </c>
      <c r="T11" s="22"/>
      <c r="U11" s="22"/>
      <c r="V11" s="22"/>
      <c r="W11" s="22"/>
      <c r="X11" s="22"/>
      <c r="Y11" s="22"/>
      <c r="Z11" s="22"/>
      <c r="AA11" s="22"/>
      <c r="AB11" s="20" t="str">
        <f t="shared" si="7"/>
        <v>52,500</v>
      </c>
      <c r="AC11" s="20">
        <v>0.0</v>
      </c>
      <c r="AD11" s="20" t="str">
        <f t="shared" si="8"/>
        <v>46,800</v>
      </c>
      <c r="AE11" s="22"/>
      <c r="AF11" s="22"/>
      <c r="AG11" s="20" t="str">
        <f t="shared" si="9"/>
        <v>0</v>
      </c>
    </row>
    <row r="12">
      <c r="A12" s="19" t="s">
        <v>61</v>
      </c>
      <c r="B12" s="19" t="s">
        <v>58</v>
      </c>
      <c r="C12" s="20">
        <v>1.0</v>
      </c>
      <c r="D12" s="20">
        <v>150000.0</v>
      </c>
      <c r="E12" s="20">
        <v>0.0</v>
      </c>
      <c r="F12" s="20">
        <v>0.0</v>
      </c>
      <c r="G12" s="20">
        <v>0.0</v>
      </c>
      <c r="H12" s="20">
        <v>0.0</v>
      </c>
      <c r="I12" s="20">
        <v>150000.0</v>
      </c>
      <c r="J12" s="20" t="str">
        <f t="shared" si="1"/>
        <v>30,000</v>
      </c>
      <c r="K12" s="20" t="str">
        <f t="shared" si="10"/>
        <v>0</v>
      </c>
      <c r="L12" s="20" t="str">
        <f t="shared" si="11"/>
        <v>0</v>
      </c>
      <c r="M12" s="20" t="str">
        <f t="shared" si="2"/>
        <v>0</v>
      </c>
      <c r="N12" s="20" t="str">
        <f t="shared" si="3"/>
        <v>0</v>
      </c>
      <c r="O12" s="20" t="str">
        <f t="shared" si="4"/>
        <v>30,000</v>
      </c>
      <c r="P12" s="20" t="str">
        <f t="shared" si="5"/>
        <v>45,000</v>
      </c>
      <c r="Q12" s="20" t="str">
        <f t="shared" si="6"/>
        <v>-15,000</v>
      </c>
      <c r="R12" s="21">
        <v>20.0</v>
      </c>
      <c r="S12" s="22"/>
      <c r="T12" s="22"/>
      <c r="U12" s="22"/>
      <c r="V12" s="22"/>
      <c r="W12" s="22"/>
      <c r="X12" s="22"/>
      <c r="Y12" s="22"/>
      <c r="Z12" s="22"/>
      <c r="AA12" s="22"/>
      <c r="AB12" s="20" t="str">
        <f t="shared" si="7"/>
        <v>0</v>
      </c>
      <c r="AC12" s="20">
        <v>0.0</v>
      </c>
      <c r="AD12" s="20" t="str">
        <f t="shared" si="8"/>
        <v>30,000</v>
      </c>
      <c r="AE12" s="22"/>
      <c r="AF12" s="22"/>
      <c r="AG12" s="20" t="str">
        <f t="shared" si="9"/>
        <v>0</v>
      </c>
    </row>
    <row r="13">
      <c r="A13" s="27" t="s">
        <v>62</v>
      </c>
      <c r="B13" s="27"/>
      <c r="C13" s="28" t="str">
        <f t="shared" ref="C13:Q13" si="12">SUM(C5:C12)</f>
        <v>582</v>
      </c>
      <c r="D13" s="28" t="str">
        <f t="shared" si="12"/>
        <v>73,279,250</v>
      </c>
      <c r="E13" s="28" t="str">
        <f t="shared" si="12"/>
        <v>62,516,500</v>
      </c>
      <c r="F13" s="28" t="str">
        <f t="shared" si="12"/>
        <v>20,319,000</v>
      </c>
      <c r="G13" s="28" t="str">
        <f t="shared" si="12"/>
        <v>0</v>
      </c>
      <c r="H13" s="28" t="str">
        <f t="shared" si="12"/>
        <v>9,458,000</v>
      </c>
      <c r="I13" s="28" t="str">
        <f t="shared" si="12"/>
        <v>165,572,750</v>
      </c>
      <c r="J13" s="28" t="str">
        <f t="shared" si="12"/>
        <v>14,655,850</v>
      </c>
      <c r="K13" s="28" t="str">
        <f t="shared" si="12"/>
        <v>19,356,595</v>
      </c>
      <c r="L13" s="28" t="str">
        <f t="shared" si="12"/>
        <v>6,802,875</v>
      </c>
      <c r="M13" s="28" t="str">
        <f t="shared" si="12"/>
        <v>0</v>
      </c>
      <c r="N13" s="28" t="str">
        <f t="shared" si="12"/>
        <v>2,837,400</v>
      </c>
      <c r="O13" s="28" t="str">
        <f t="shared" si="12"/>
        <v>43,652,720</v>
      </c>
      <c r="P13" s="28" t="str">
        <f t="shared" si="12"/>
        <v>49,671,825</v>
      </c>
      <c r="Q13" s="28" t="str">
        <f t="shared" si="12"/>
        <v>-6,019,105</v>
      </c>
      <c r="R13" s="29" t="str">
        <f>IF(I13=0,0,O13/I13*100)</f>
        <v>26.4</v>
      </c>
      <c r="S13" s="28" t="str">
        <f t="shared" ref="S13:AG13" si="13">SUM(S5:S12)</f>
        <v>343,800</v>
      </c>
      <c r="T13" s="28" t="str">
        <f t="shared" si="13"/>
        <v>0</v>
      </c>
      <c r="U13" s="28" t="str">
        <f t="shared" si="13"/>
        <v>343,805</v>
      </c>
      <c r="V13" s="28" t="str">
        <f t="shared" si="13"/>
        <v>0</v>
      </c>
      <c r="W13" s="28" t="str">
        <f t="shared" si="13"/>
        <v>0</v>
      </c>
      <c r="X13" s="28" t="str">
        <f t="shared" si="13"/>
        <v>0</v>
      </c>
      <c r="Y13" s="28" t="str">
        <f t="shared" si="13"/>
        <v>30,000</v>
      </c>
      <c r="Z13" s="28" t="str">
        <f t="shared" si="13"/>
        <v>100,000</v>
      </c>
      <c r="AA13" s="28" t="str">
        <f t="shared" si="13"/>
        <v>500,000</v>
      </c>
      <c r="AB13" s="28" t="str">
        <f t="shared" si="13"/>
        <v>1,317,605</v>
      </c>
      <c r="AC13" s="28" t="str">
        <f t="shared" si="13"/>
        <v>0</v>
      </c>
      <c r="AD13" s="28" t="str">
        <f t="shared" si="13"/>
        <v>42,335,115</v>
      </c>
      <c r="AE13" s="28" t="str">
        <f t="shared" si="13"/>
        <v>1,165,600</v>
      </c>
      <c r="AF13" s="28" t="str">
        <f t="shared" si="13"/>
        <v>51,560,605</v>
      </c>
      <c r="AG13" s="28" t="str">
        <f t="shared" si="13"/>
        <v>52,726,205</v>
      </c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4.0" ySplit="7.0" topLeftCell="E8" activePane="bottomRight" state="frozen"/>
      <selection activeCell="E1" sqref="E1" pane="topRight"/>
      <selection activeCell="A8" sqref="A8" pane="bottomLeft"/>
      <selection activeCell="E8" sqref="E8" pane="bottomRight"/>
    </sheetView>
  </sheetViews>
  <sheetFormatPr customHeight="1" defaultColWidth="14.43" defaultRowHeight="15.0"/>
  <cols>
    <col customWidth="1" min="1" max="1" width="1.43"/>
    <col customWidth="1" min="2" max="2" width="9.0"/>
    <col customWidth="1" min="3" max="3" width="26.86"/>
    <col customWidth="1" min="4" max="4" width="62.71"/>
    <col customWidth="1" min="5" max="5" width="45.29"/>
    <col customWidth="1" min="6" max="6" width="26.14"/>
    <col customWidth="1" min="7" max="7" width="49.86"/>
    <col customWidth="1" min="8" max="8" width="47.0"/>
    <col customWidth="1" min="9" max="9" width="69.43"/>
    <col customWidth="1" min="10" max="10" width="87.29"/>
    <col customWidth="1" min="11" max="11" width="22.86"/>
    <col customWidth="1" min="12" max="12" width="83.71"/>
    <col customWidth="1" min="13" max="13" width="38.71"/>
    <col customWidth="1" min="14" max="14" width="36.57"/>
    <col customWidth="1" min="15" max="15" width="47.29"/>
    <col customWidth="1" min="16" max="19" width="43.29"/>
    <col customWidth="1" min="20" max="24" width="34.43"/>
    <col customWidth="1" min="25" max="25" width="42.0"/>
    <col customWidth="1" min="26" max="26" width="39.86"/>
    <col customWidth="1" min="27" max="27" width="70.57"/>
    <col customWidth="1" min="28" max="34" width="13.14"/>
  </cols>
  <sheetData>
    <row r="1" ht="14.25" customHeight="1">
      <c r="A1" s="30"/>
      <c r="B1" s="30"/>
      <c r="C1" s="31"/>
      <c r="D1" s="30"/>
      <c r="E1" s="30"/>
      <c r="F1" s="32"/>
      <c r="G1" s="32"/>
      <c r="H1" s="32"/>
      <c r="I1" s="32"/>
      <c r="J1" s="32"/>
      <c r="K1" s="32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</row>
    <row r="2" ht="54.75" customHeight="1">
      <c r="A2" s="30"/>
      <c r="B2" s="33" t="s">
        <v>63</v>
      </c>
      <c r="C2" s="34"/>
      <c r="D2" s="34"/>
      <c r="E2" s="34"/>
      <c r="F2" s="34"/>
      <c r="G2" s="34"/>
      <c r="H2" s="34"/>
      <c r="I2" s="34"/>
      <c r="J2" s="34"/>
      <c r="K2" s="34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  <c r="AB2" s="34"/>
      <c r="AC2" s="34"/>
      <c r="AD2" s="34"/>
      <c r="AE2" s="34"/>
      <c r="AF2" s="34"/>
      <c r="AG2" s="34"/>
      <c r="AH2" s="34"/>
    </row>
    <row r="3" ht="54.75" customHeight="1">
      <c r="A3" s="30"/>
      <c r="B3" s="33" t="s">
        <v>64</v>
      </c>
      <c r="C3" s="34"/>
      <c r="D3" s="34"/>
      <c r="E3" s="34"/>
      <c r="F3" s="34"/>
      <c r="G3" s="34"/>
      <c r="H3" s="34"/>
      <c r="I3" s="34"/>
      <c r="J3" s="34"/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4"/>
      <c r="AB3" s="34"/>
      <c r="AC3" s="34"/>
      <c r="AD3" s="34"/>
      <c r="AE3" s="34"/>
      <c r="AF3" s="34"/>
      <c r="AG3" s="34"/>
      <c r="AH3" s="34"/>
    </row>
    <row r="4" ht="54.75" customHeight="1">
      <c r="A4" s="30"/>
      <c r="B4" s="33" t="s">
        <v>65</v>
      </c>
      <c r="C4" s="34"/>
      <c r="D4" s="36" t="s">
        <v>66</v>
      </c>
      <c r="E4" s="34"/>
      <c r="F4" s="34"/>
      <c r="G4" s="34"/>
      <c r="H4" s="34"/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4"/>
      <c r="AB4" s="34"/>
      <c r="AC4" s="34"/>
      <c r="AD4" s="34"/>
      <c r="AE4" s="34"/>
      <c r="AF4" s="34"/>
      <c r="AG4" s="34"/>
      <c r="AH4" s="34"/>
    </row>
    <row r="5" ht="60.0" customHeight="1">
      <c r="A5" s="37"/>
      <c r="B5" s="37"/>
      <c r="C5" s="38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7"/>
      <c r="AC5" s="37"/>
      <c r="AD5" s="37"/>
      <c r="AE5" s="37"/>
      <c r="AF5" s="37"/>
      <c r="AG5" s="37"/>
      <c r="AH5" s="37"/>
    </row>
    <row r="6" ht="16.5" customHeight="1">
      <c r="A6" s="40"/>
      <c r="B6" s="40"/>
      <c r="C6" s="41"/>
      <c r="D6" s="41"/>
      <c r="E6" s="40"/>
      <c r="F6" s="41"/>
      <c r="G6" s="41"/>
      <c r="H6" s="40"/>
      <c r="I6" s="41"/>
      <c r="J6" s="41"/>
      <c r="K6" s="40"/>
      <c r="L6" s="41"/>
      <c r="M6" s="41"/>
      <c r="N6" s="40"/>
      <c r="O6" s="41"/>
      <c r="P6" s="41"/>
      <c r="Q6" s="40"/>
      <c r="R6" s="41"/>
      <c r="S6" s="41"/>
      <c r="T6" s="40"/>
      <c r="U6" s="41"/>
      <c r="V6" s="40"/>
      <c r="W6" s="41"/>
      <c r="X6" s="40"/>
      <c r="Y6" s="41"/>
      <c r="Z6" s="40"/>
      <c r="AA6" s="41"/>
      <c r="AB6" s="40"/>
      <c r="AC6" s="40"/>
      <c r="AD6" s="40"/>
      <c r="AE6" s="40"/>
      <c r="AF6" s="40"/>
      <c r="AG6" s="40"/>
      <c r="AH6" s="40"/>
    </row>
    <row r="7" ht="151.5" customHeight="1">
      <c r="A7" s="42"/>
      <c r="B7" s="43" t="s">
        <v>67</v>
      </c>
      <c r="C7" s="44" t="s">
        <v>68</v>
      </c>
      <c r="D7" s="43" t="s">
        <v>69</v>
      </c>
      <c r="E7" s="43" t="s">
        <v>70</v>
      </c>
      <c r="F7" s="43" t="s">
        <v>71</v>
      </c>
      <c r="G7" s="43" t="s">
        <v>72</v>
      </c>
      <c r="H7" s="44" t="s">
        <v>73</v>
      </c>
      <c r="I7" s="43" t="s">
        <v>74</v>
      </c>
      <c r="J7" s="43" t="s">
        <v>75</v>
      </c>
      <c r="K7" s="43" t="s">
        <v>76</v>
      </c>
      <c r="L7" s="43" t="s">
        <v>77</v>
      </c>
      <c r="M7" s="45" t="s">
        <v>78</v>
      </c>
      <c r="N7" s="45" t="s">
        <v>79</v>
      </c>
      <c r="O7" s="45" t="s">
        <v>80</v>
      </c>
      <c r="P7" s="46" t="s">
        <v>43</v>
      </c>
      <c r="Q7" s="46" t="s">
        <v>44</v>
      </c>
      <c r="R7" s="46" t="s">
        <v>45</v>
      </c>
      <c r="S7" s="46" t="s">
        <v>46</v>
      </c>
      <c r="T7" s="46" t="s">
        <v>47</v>
      </c>
      <c r="U7" s="46" t="s">
        <v>48</v>
      </c>
      <c r="V7" s="46" t="s">
        <v>49</v>
      </c>
      <c r="W7" s="46" t="s">
        <v>50</v>
      </c>
      <c r="X7" s="46" t="s">
        <v>51</v>
      </c>
      <c r="Y7" s="46" t="s">
        <v>52</v>
      </c>
      <c r="Z7" s="47" t="s">
        <v>81</v>
      </c>
      <c r="AA7" s="48" t="s">
        <v>82</v>
      </c>
      <c r="AB7" s="42"/>
      <c r="AC7" s="42"/>
      <c r="AD7" s="42"/>
      <c r="AE7" s="42"/>
      <c r="AF7" s="42"/>
      <c r="AG7" s="42"/>
      <c r="AH7" s="42"/>
    </row>
    <row r="8" ht="60.0" customHeight="1">
      <c r="A8" s="49"/>
      <c r="B8" s="50">
        <v>1.0</v>
      </c>
      <c r="C8" s="51"/>
      <c r="D8" s="52" t="str">
        <f>RAW!A5</f>
        <v>ABDUL MUNAJAT</v>
      </c>
      <c r="E8" s="52" t="s">
        <v>83</v>
      </c>
      <c r="F8" s="50" t="str">
        <f>RAW!B5</f>
        <v>JATIMULYA</v>
      </c>
      <c r="G8" s="53" t="s">
        <v>84</v>
      </c>
      <c r="H8" s="50"/>
      <c r="I8" s="54"/>
      <c r="J8" s="50" t="str">
        <f t="shared" ref="J8:J15" si="1">CONCATENATE($G$7,G8,$H$7,H8,$I$7,I8)</f>
        <v>Bank BSI No. Rek.  A/n </v>
      </c>
      <c r="K8" s="50" t="s">
        <v>85</v>
      </c>
      <c r="L8" s="55" t="str">
        <f>RAW!I5</f>
        <v>  40,400,000 </v>
      </c>
      <c r="M8" s="55" t="str">
        <f>RAW!O5</f>
        <v>  10,714,040 </v>
      </c>
      <c r="N8" s="56" t="str">
        <f>RAW!AC5</f>
        <v>  - </v>
      </c>
      <c r="O8" s="56" t="str">
        <f t="shared" ref="O8:O15" si="2">SUM(M8:N8)</f>
        <v>  10,714,040 </v>
      </c>
      <c r="P8" s="56" t="str">
        <f>RAW!S5</f>
        <v/>
      </c>
      <c r="Q8" s="56" t="str">
        <f>RAW!T5</f>
        <v/>
      </c>
      <c r="R8" s="56" t="str">
        <f>RAW!U5</f>
        <v/>
      </c>
      <c r="S8" s="56" t="str">
        <f>RAW!V5</f>
        <v/>
      </c>
      <c r="T8" s="56" t="str">
        <f>RAW!W5</f>
        <v/>
      </c>
      <c r="U8" s="56" t="str">
        <f>RAW!X5</f>
        <v/>
      </c>
      <c r="V8" s="56" t="str">
        <f>RAW!Y5</f>
        <v/>
      </c>
      <c r="W8" s="56" t="str">
        <f>RAW!Z5</f>
        <v/>
      </c>
      <c r="X8" s="56" t="str">
        <f>RAW!AA5</f>
        <v>  100,000 </v>
      </c>
      <c r="Y8" s="56" t="str">
        <f>RAW!AB5</f>
        <v>  100,000 </v>
      </c>
      <c r="Z8" s="56" t="str">
        <f t="shared" ref="Z8:Z15" si="3">O8-Y8</f>
        <v>  10,614,040 </v>
      </c>
      <c r="AA8" s="57" t="str">
        <f t="shared" ref="AA8:AA15" si="4">TEXTJOIN(" | ",TRUE,IF(V8&gt;0,"Biaya Pendaftaran Koperasi: "&amp;TEXT(V8,"#.##0"),""),IF(W8&gt;0,"Simpanan Pokok: "&amp;TEXT(W8,"#.##0"),""),IF(X8&gt;0,"Simpanan Wajib: "&amp;TEXT(X8,"#.##0"),""))</f>
        <v>Simpanan Wajib: 100000.0</v>
      </c>
      <c r="AB8" s="49"/>
      <c r="AC8" s="49"/>
      <c r="AD8" s="49"/>
      <c r="AE8" s="49"/>
      <c r="AF8" s="49"/>
      <c r="AG8" s="49"/>
      <c r="AH8" s="49"/>
    </row>
    <row r="9" ht="60.0" customHeight="1">
      <c r="A9" s="49"/>
      <c r="B9" s="50">
        <v>2.0</v>
      </c>
      <c r="C9" s="51"/>
      <c r="D9" s="52" t="str">
        <f>RAW!A6</f>
        <v>EKO RISDIYANTORO JATIMULYA</v>
      </c>
      <c r="E9" s="52" t="s">
        <v>83</v>
      </c>
      <c r="F9" s="50" t="str">
        <f>RAW!B6</f>
        <v>JATIMULYA</v>
      </c>
      <c r="G9" s="53" t="s">
        <v>84</v>
      </c>
      <c r="H9" s="50"/>
      <c r="I9" s="54"/>
      <c r="J9" s="50" t="str">
        <f t="shared" si="1"/>
        <v>Bank BSI No. Rek.  A/n </v>
      </c>
      <c r="K9" s="50" t="s">
        <v>85</v>
      </c>
      <c r="L9" s="55" t="str">
        <f>RAW!I6</f>
        <v>  34,123,500 </v>
      </c>
      <c r="M9" s="55" t="str">
        <f>RAW!O6</f>
        <v>  10,252,520 </v>
      </c>
      <c r="N9" s="56" t="str">
        <f>RAW!AC6</f>
        <v>  - </v>
      </c>
      <c r="O9" s="56" t="str">
        <f t="shared" si="2"/>
        <v>  10,252,520 </v>
      </c>
      <c r="P9" s="56" t="str">
        <f>RAW!S6</f>
        <v/>
      </c>
      <c r="Q9" s="56" t="str">
        <f>RAW!T6</f>
        <v/>
      </c>
      <c r="R9" s="56" t="str">
        <f>RAW!U6</f>
        <v>  343,805 </v>
      </c>
      <c r="S9" s="56" t="str">
        <f>RAW!V6</f>
        <v/>
      </c>
      <c r="T9" s="56" t="str">
        <f>RAW!W6</f>
        <v/>
      </c>
      <c r="U9" s="56" t="str">
        <f>RAW!X6</f>
        <v/>
      </c>
      <c r="V9" s="56" t="str">
        <f>RAW!Y6</f>
        <v/>
      </c>
      <c r="W9" s="56" t="str">
        <f>RAW!Z6</f>
        <v/>
      </c>
      <c r="X9" s="56" t="str">
        <f>RAW!AA6</f>
        <v>  100,000 </v>
      </c>
      <c r="Y9" s="56" t="str">
        <f>RAW!AB6</f>
        <v>  443,805 </v>
      </c>
      <c r="Z9" s="56" t="str">
        <f t="shared" si="3"/>
        <v>  9,808,715 </v>
      </c>
      <c r="AA9" s="57" t="str">
        <f t="shared" si="4"/>
        <v>Simpanan Wajib: 100000.0</v>
      </c>
      <c r="AB9" s="49"/>
      <c r="AC9" s="49"/>
      <c r="AD9" s="49"/>
      <c r="AE9" s="49"/>
      <c r="AF9" s="49"/>
      <c r="AG9" s="49"/>
      <c r="AH9" s="49"/>
    </row>
    <row r="10" ht="60.0" customHeight="1">
      <c r="A10" s="49"/>
      <c r="B10" s="50">
        <v>3.0</v>
      </c>
      <c r="C10" s="51"/>
      <c r="D10" s="52" t="str">
        <f>RAW!A7</f>
        <v>SYARIF HIDAYAT</v>
      </c>
      <c r="E10" s="52" t="s">
        <v>83</v>
      </c>
      <c r="F10" s="50" t="str">
        <f>RAW!B7</f>
        <v>JATIMULYA</v>
      </c>
      <c r="G10" s="53" t="s">
        <v>84</v>
      </c>
      <c r="H10" s="50"/>
      <c r="I10" s="54"/>
      <c r="J10" s="50" t="str">
        <f t="shared" si="1"/>
        <v>Bank BSI No. Rek.  A/n </v>
      </c>
      <c r="K10" s="50" t="s">
        <v>85</v>
      </c>
      <c r="L10" s="55" t="str">
        <f>RAW!I7</f>
        <v>  31,339,000 </v>
      </c>
      <c r="M10" s="55" t="str">
        <f>RAW!O7</f>
        <v>  8,265,240 </v>
      </c>
      <c r="N10" s="56" t="str">
        <f>RAW!AC7</f>
        <v>  - </v>
      </c>
      <c r="O10" s="56" t="str">
        <f t="shared" si="2"/>
        <v>  8,265,240 </v>
      </c>
      <c r="P10" s="56" t="str">
        <f>RAW!S7</f>
        <v>  84,300 </v>
      </c>
      <c r="Q10" s="56" t="str">
        <f>RAW!T7</f>
        <v/>
      </c>
      <c r="R10" s="56" t="str">
        <f>RAW!U7</f>
        <v/>
      </c>
      <c r="S10" s="56" t="str">
        <f>RAW!V7</f>
        <v/>
      </c>
      <c r="T10" s="56" t="str">
        <f>RAW!W7</f>
        <v/>
      </c>
      <c r="U10" s="56" t="str">
        <f>RAW!X7</f>
        <v/>
      </c>
      <c r="V10" s="56" t="str">
        <f>RAW!Y7</f>
        <v/>
      </c>
      <c r="W10" s="56" t="str">
        <f>RAW!Z7</f>
        <v/>
      </c>
      <c r="X10" s="56" t="str">
        <f>RAW!AA7</f>
        <v>  100,000 </v>
      </c>
      <c r="Y10" s="56" t="str">
        <f>RAW!AB7</f>
        <v>  184,300 </v>
      </c>
      <c r="Z10" s="56" t="str">
        <f t="shared" si="3"/>
        <v>  8,080,940 </v>
      </c>
      <c r="AA10" s="57" t="str">
        <f t="shared" si="4"/>
        <v>Simpanan Wajib: 100000.0</v>
      </c>
      <c r="AB10" s="49"/>
      <c r="AC10" s="49"/>
      <c r="AD10" s="49"/>
      <c r="AE10" s="49"/>
      <c r="AF10" s="49"/>
      <c r="AG10" s="49"/>
      <c r="AH10" s="49"/>
    </row>
    <row r="11" ht="60.0" customHeight="1">
      <c r="A11" s="49"/>
      <c r="B11" s="50">
        <v>4.0</v>
      </c>
      <c r="C11" s="51"/>
      <c r="D11" s="52" t="str">
        <f>RAW!A8</f>
        <v>ARIFIN SANTOSO JATIMULYA</v>
      </c>
      <c r="E11" s="52" t="s">
        <v>83</v>
      </c>
      <c r="F11" s="50" t="str">
        <f>RAW!B8</f>
        <v>JATIMULYA</v>
      </c>
      <c r="G11" s="53" t="s">
        <v>84</v>
      </c>
      <c r="H11" s="50"/>
      <c r="I11" s="54"/>
      <c r="J11" s="50" t="str">
        <f t="shared" si="1"/>
        <v>Bank BSI No. Rek.  A/n </v>
      </c>
      <c r="K11" s="50" t="s">
        <v>85</v>
      </c>
      <c r="L11" s="55" t="str">
        <f>RAW!I8</f>
        <v>  23,312,000 </v>
      </c>
      <c r="M11" s="55" t="str">
        <f>RAW!O8</f>
        <v>  5,870,920 </v>
      </c>
      <c r="N11" s="56" t="str">
        <f>RAW!AC8</f>
        <v>  - </v>
      </c>
      <c r="O11" s="56" t="str">
        <f t="shared" si="2"/>
        <v>  5,870,920 </v>
      </c>
      <c r="P11" s="56" t="str">
        <f>RAW!S8</f>
        <v>  60,000 </v>
      </c>
      <c r="Q11" s="56" t="str">
        <f>RAW!T8</f>
        <v/>
      </c>
      <c r="R11" s="56" t="str">
        <f>RAW!U8</f>
        <v/>
      </c>
      <c r="S11" s="56" t="str">
        <f>RAW!V8</f>
        <v/>
      </c>
      <c r="T11" s="56" t="str">
        <f>RAW!W8</f>
        <v/>
      </c>
      <c r="U11" s="56" t="str">
        <f>RAW!X8</f>
        <v/>
      </c>
      <c r="V11" s="56" t="str">
        <f>RAW!Y8</f>
        <v/>
      </c>
      <c r="W11" s="56" t="str">
        <f>RAW!Z8</f>
        <v/>
      </c>
      <c r="X11" s="56" t="str">
        <f>RAW!AA8</f>
        <v>  100,000 </v>
      </c>
      <c r="Y11" s="56" t="str">
        <f>RAW!AB8</f>
        <v>  160,000 </v>
      </c>
      <c r="Z11" s="56" t="str">
        <f t="shared" si="3"/>
        <v>  5,710,920 </v>
      </c>
      <c r="AA11" s="57" t="str">
        <f t="shared" si="4"/>
        <v>Simpanan Wajib: 100000.0</v>
      </c>
      <c r="AB11" s="49"/>
      <c r="AC11" s="49"/>
      <c r="AD11" s="49"/>
      <c r="AE11" s="49"/>
      <c r="AF11" s="49"/>
      <c r="AG11" s="49"/>
      <c r="AH11" s="49"/>
    </row>
    <row r="12" ht="60.0" customHeight="1">
      <c r="A12" s="49"/>
      <c r="B12" s="50">
        <v>5.0</v>
      </c>
      <c r="C12" s="51"/>
      <c r="D12" s="52" t="str">
        <f>RAW!A9</f>
        <v>ROBI PRAYOGA</v>
      </c>
      <c r="E12" s="52" t="s">
        <v>83</v>
      </c>
      <c r="F12" s="50" t="str">
        <f>RAW!B9</f>
        <v>JATIMULYA</v>
      </c>
      <c r="G12" s="53" t="s">
        <v>84</v>
      </c>
      <c r="H12" s="50"/>
      <c r="I12" s="52"/>
      <c r="J12" s="50" t="str">
        <f t="shared" si="1"/>
        <v>Bank BSI No. Rek.  A/n </v>
      </c>
      <c r="K12" s="50" t="s">
        <v>85</v>
      </c>
      <c r="L12" s="55" t="str">
        <f>RAW!I9</f>
        <v>  18,766,000 </v>
      </c>
      <c r="M12" s="55" t="str">
        <f>RAW!O9</f>
        <v>  4,266,200 </v>
      </c>
      <c r="N12" s="56" t="str">
        <f>RAW!AC9</f>
        <v>  - </v>
      </c>
      <c r="O12" s="56" t="str">
        <f t="shared" si="2"/>
        <v>  4,266,200 </v>
      </c>
      <c r="P12" s="56" t="str">
        <f>RAW!S9</f>
        <v>  27,000 </v>
      </c>
      <c r="Q12" s="56" t="str">
        <f>RAW!T9</f>
        <v/>
      </c>
      <c r="R12" s="56" t="str">
        <f>RAW!U9</f>
        <v/>
      </c>
      <c r="S12" s="56" t="str">
        <f>RAW!V9</f>
        <v/>
      </c>
      <c r="T12" s="56" t="str">
        <f>RAW!W9</f>
        <v/>
      </c>
      <c r="U12" s="56" t="str">
        <f>RAW!X9</f>
        <v/>
      </c>
      <c r="V12" s="56" t="str">
        <f>RAW!Y9</f>
        <v>  30,000 </v>
      </c>
      <c r="W12" s="56" t="str">
        <f>RAW!Z9</f>
        <v>  100,000 </v>
      </c>
      <c r="X12" s="56" t="str">
        <f>RAW!AA9</f>
        <v/>
      </c>
      <c r="Y12" s="56" t="str">
        <f>RAW!AB9</f>
        <v>  157,000 </v>
      </c>
      <c r="Z12" s="56" t="str">
        <f t="shared" si="3"/>
        <v>  4,109,200 </v>
      </c>
      <c r="AA12" s="57" t="str">
        <f t="shared" si="4"/>
        <v>Biaya Pendaftaran Koperasi: 30000.0 | Simpanan Pokok: 100000.0</v>
      </c>
      <c r="AB12" s="49"/>
      <c r="AC12" s="49"/>
      <c r="AD12" s="49"/>
      <c r="AE12" s="49"/>
      <c r="AF12" s="49"/>
      <c r="AG12" s="49"/>
      <c r="AH12" s="49"/>
    </row>
    <row r="13" ht="60.0" customHeight="1">
      <c r="A13" s="49"/>
      <c r="B13" s="50">
        <v>6.0</v>
      </c>
      <c r="C13" s="51"/>
      <c r="D13" s="52" t="str">
        <f>RAW!A10</f>
        <v>ARI MARWAN</v>
      </c>
      <c r="E13" s="52" t="s">
        <v>83</v>
      </c>
      <c r="F13" s="50" t="str">
        <f>RAW!B10</f>
        <v>JATIMULYA</v>
      </c>
      <c r="G13" s="53" t="s">
        <v>84</v>
      </c>
      <c r="H13" s="50"/>
      <c r="I13" s="54"/>
      <c r="J13" s="50" t="str">
        <f t="shared" si="1"/>
        <v>Bank BSI No. Rek.  A/n </v>
      </c>
      <c r="K13" s="50" t="s">
        <v>85</v>
      </c>
      <c r="L13" s="55" t="str">
        <f>RAW!I10</f>
        <v>  17,151,250 </v>
      </c>
      <c r="M13" s="55" t="str">
        <f>RAW!O10</f>
        <v>  4,154,500 </v>
      </c>
      <c r="N13" s="56" t="str">
        <f>RAW!AC10</f>
        <v>  - </v>
      </c>
      <c r="O13" s="56" t="str">
        <f t="shared" si="2"/>
        <v>  4,154,500 </v>
      </c>
      <c r="P13" s="56" t="str">
        <f>RAW!S10</f>
        <v>  120,000 </v>
      </c>
      <c r="Q13" s="56" t="str">
        <f>RAW!T10</f>
        <v/>
      </c>
      <c r="R13" s="56" t="str">
        <f>RAW!U10</f>
        <v/>
      </c>
      <c r="S13" s="56" t="str">
        <f>RAW!V10</f>
        <v/>
      </c>
      <c r="T13" s="56" t="str">
        <f>RAW!W10</f>
        <v/>
      </c>
      <c r="U13" s="56" t="str">
        <f>RAW!X10</f>
        <v/>
      </c>
      <c r="V13" s="56" t="str">
        <f>RAW!Y10</f>
        <v/>
      </c>
      <c r="W13" s="56" t="str">
        <f>RAW!Z10</f>
        <v/>
      </c>
      <c r="X13" s="56" t="str">
        <f>RAW!AA10</f>
        <v>  100,000 </v>
      </c>
      <c r="Y13" s="56" t="str">
        <f>RAW!AB10</f>
        <v>  220,000 </v>
      </c>
      <c r="Z13" s="56" t="str">
        <f t="shared" si="3"/>
        <v>  3,934,500 </v>
      </c>
      <c r="AA13" s="57" t="str">
        <f t="shared" si="4"/>
        <v>Simpanan Wajib: 100000.0</v>
      </c>
      <c r="AB13" s="49"/>
      <c r="AC13" s="49"/>
      <c r="AD13" s="49"/>
      <c r="AE13" s="49"/>
      <c r="AF13" s="49"/>
      <c r="AG13" s="49"/>
      <c r="AH13" s="49"/>
    </row>
    <row r="14" ht="60.0" customHeight="1">
      <c r="A14" s="49"/>
      <c r="B14" s="50">
        <v>7.0</v>
      </c>
      <c r="C14" s="51"/>
      <c r="D14" s="52" t="str">
        <f>RAW!A11</f>
        <v>YUVI NOFERIANTO</v>
      </c>
      <c r="E14" s="52" t="s">
        <v>83</v>
      </c>
      <c r="F14" s="50" t="str">
        <f>RAW!B11</f>
        <v>JATIMULYA</v>
      </c>
      <c r="G14" s="53" t="s">
        <v>84</v>
      </c>
      <c r="H14" s="50"/>
      <c r="I14" s="54"/>
      <c r="J14" s="50" t="str">
        <f t="shared" si="1"/>
        <v>Bank BSI No. Rek.  A/n </v>
      </c>
      <c r="K14" s="50" t="s">
        <v>85</v>
      </c>
      <c r="L14" s="55" t="str">
        <f>RAW!I11</f>
        <v>  331,000 </v>
      </c>
      <c r="M14" s="55" t="str">
        <f>RAW!O11</f>
        <v>  99,300 </v>
      </c>
      <c r="N14" s="56" t="str">
        <f>RAW!AC11</f>
        <v>  - </v>
      </c>
      <c r="O14" s="56" t="str">
        <f t="shared" si="2"/>
        <v>  99,300 </v>
      </c>
      <c r="P14" s="56" t="str">
        <f>RAW!S11</f>
        <v>  52,500 </v>
      </c>
      <c r="Q14" s="56" t="str">
        <f>RAW!T11</f>
        <v/>
      </c>
      <c r="R14" s="56" t="str">
        <f>RAW!U11</f>
        <v/>
      </c>
      <c r="S14" s="56" t="str">
        <f>RAW!V11</f>
        <v/>
      </c>
      <c r="T14" s="56" t="str">
        <f>RAW!W11</f>
        <v/>
      </c>
      <c r="U14" s="56" t="str">
        <f>RAW!X11</f>
        <v/>
      </c>
      <c r="V14" s="56" t="str">
        <f>RAW!Y11</f>
        <v/>
      </c>
      <c r="W14" s="56" t="str">
        <f>RAW!Z11</f>
        <v/>
      </c>
      <c r="X14" s="56" t="str">
        <f>RAW!AA11</f>
        <v/>
      </c>
      <c r="Y14" s="56" t="str">
        <f>RAW!AB11</f>
        <v>  52,500 </v>
      </c>
      <c r="Z14" s="56" t="str">
        <f t="shared" si="3"/>
        <v>  46,800 </v>
      </c>
      <c r="AA14" s="57" t="str">
        <f t="shared" si="4"/>
        <v/>
      </c>
      <c r="AB14" s="49"/>
      <c r="AC14" s="49"/>
      <c r="AD14" s="49"/>
      <c r="AE14" s="49"/>
      <c r="AF14" s="49"/>
      <c r="AG14" s="49"/>
      <c r="AH14" s="49"/>
    </row>
    <row r="15" ht="60.0" customHeight="1">
      <c r="A15" s="49"/>
      <c r="B15" s="50">
        <v>8.0</v>
      </c>
      <c r="C15" s="51"/>
      <c r="D15" s="52" t="str">
        <f>RAW!A12</f>
        <v>IKANG TAUFIK (OPIK)</v>
      </c>
      <c r="E15" s="52" t="s">
        <v>83</v>
      </c>
      <c r="F15" s="50" t="str">
        <f>RAW!B12</f>
        <v>JATIMULYA</v>
      </c>
      <c r="G15" s="53" t="s">
        <v>84</v>
      </c>
      <c r="H15" s="50"/>
      <c r="I15" s="52"/>
      <c r="J15" s="50" t="str">
        <f t="shared" si="1"/>
        <v>Bank BSI No. Rek.  A/n </v>
      </c>
      <c r="K15" s="50" t="s">
        <v>85</v>
      </c>
      <c r="L15" s="55" t="str">
        <f>RAW!I12</f>
        <v>  150,000 </v>
      </c>
      <c r="M15" s="55" t="str">
        <f>RAW!O12</f>
        <v>  30,000 </v>
      </c>
      <c r="N15" s="56" t="str">
        <f>RAW!AC12</f>
        <v>  - </v>
      </c>
      <c r="O15" s="56" t="str">
        <f t="shared" si="2"/>
        <v>  30,000 </v>
      </c>
      <c r="P15" s="56" t="str">
        <f>RAW!S12</f>
        <v/>
      </c>
      <c r="Q15" s="56" t="str">
        <f>RAW!T12</f>
        <v/>
      </c>
      <c r="R15" s="56" t="str">
        <f>RAW!U12</f>
        <v/>
      </c>
      <c r="S15" s="56" t="str">
        <f>RAW!V12</f>
        <v/>
      </c>
      <c r="T15" s="56" t="str">
        <f>RAW!W12</f>
        <v/>
      </c>
      <c r="U15" s="56" t="str">
        <f>RAW!X12</f>
        <v/>
      </c>
      <c r="V15" s="56" t="str">
        <f>RAW!Y12</f>
        <v/>
      </c>
      <c r="W15" s="56" t="str">
        <f>RAW!Z12</f>
        <v/>
      </c>
      <c r="X15" s="56" t="str">
        <f>RAW!AA12</f>
        <v/>
      </c>
      <c r="Y15" s="56" t="str">
        <f>RAW!AB12</f>
        <v>  - </v>
      </c>
      <c r="Z15" s="56" t="str">
        <f t="shared" si="3"/>
        <v>  30,000 </v>
      </c>
      <c r="AA15" s="57" t="str">
        <f t="shared" si="4"/>
        <v/>
      </c>
      <c r="AB15" s="49"/>
      <c r="AC15" s="49"/>
      <c r="AD15" s="49"/>
      <c r="AE15" s="49"/>
      <c r="AF15" s="49"/>
      <c r="AG15" s="49"/>
      <c r="AH15" s="49"/>
    </row>
    <row r="16" ht="69.0" customHeight="1">
      <c r="A16" s="58"/>
      <c r="B16" s="59" t="s">
        <v>62</v>
      </c>
      <c r="C16" s="2"/>
      <c r="D16" s="2"/>
      <c r="E16" s="2"/>
      <c r="F16" s="2"/>
      <c r="G16" s="2"/>
      <c r="H16" s="2"/>
      <c r="I16" s="2"/>
      <c r="J16" s="2"/>
      <c r="K16" s="3"/>
      <c r="L16" s="60" t="str">
        <f t="shared" ref="L16:Z16" si="5">SUM(L8:L15)</f>
        <v> Rp 165,572,750 </v>
      </c>
      <c r="M16" s="60" t="str">
        <f t="shared" si="5"/>
        <v> Rp 43,652,720 </v>
      </c>
      <c r="N16" s="60" t="str">
        <f t="shared" si="5"/>
        <v> Rp - </v>
      </c>
      <c r="O16" s="60" t="str">
        <f t="shared" si="5"/>
        <v> Rp 43,652,720 </v>
      </c>
      <c r="P16" s="60" t="str">
        <f t="shared" si="5"/>
        <v> Rp 343,800 </v>
      </c>
      <c r="Q16" s="60" t="str">
        <f t="shared" si="5"/>
        <v> Rp - </v>
      </c>
      <c r="R16" s="60" t="str">
        <f t="shared" si="5"/>
        <v> Rp 343,805 </v>
      </c>
      <c r="S16" s="60" t="str">
        <f t="shared" si="5"/>
        <v> Rp - </v>
      </c>
      <c r="T16" s="60" t="str">
        <f t="shared" si="5"/>
        <v> Rp - </v>
      </c>
      <c r="U16" s="60" t="str">
        <f t="shared" si="5"/>
        <v> Rp - </v>
      </c>
      <c r="V16" s="60" t="str">
        <f t="shared" si="5"/>
        <v> Rp 30,000 </v>
      </c>
      <c r="W16" s="60" t="str">
        <f t="shared" si="5"/>
        <v> Rp 100,000 </v>
      </c>
      <c r="X16" s="60" t="str">
        <f t="shared" si="5"/>
        <v> Rp 500,000 </v>
      </c>
      <c r="Y16" s="60" t="str">
        <f t="shared" si="5"/>
        <v> Rp 1,317,605 </v>
      </c>
      <c r="Z16" s="60" t="str">
        <f t="shared" si="5"/>
        <v> Rp 42,335,115 </v>
      </c>
      <c r="AA16" s="61"/>
      <c r="AB16" s="58"/>
      <c r="AC16" s="58"/>
      <c r="AD16" s="58"/>
      <c r="AE16" s="58"/>
      <c r="AF16" s="58"/>
      <c r="AG16" s="58"/>
      <c r="AH16" s="58"/>
    </row>
    <row r="17" ht="25.5" customHeight="1">
      <c r="A17" s="30"/>
      <c r="B17" s="39"/>
      <c r="C17" s="38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62"/>
      <c r="AB17" s="30"/>
      <c r="AC17" s="30"/>
      <c r="AD17" s="30"/>
      <c r="AE17" s="30"/>
      <c r="AF17" s="30"/>
      <c r="AG17" s="30"/>
      <c r="AH17" s="30"/>
    </row>
    <row r="18" ht="14.25" customHeight="1">
      <c r="A18" s="30"/>
      <c r="B18" s="30"/>
      <c r="C18" s="31"/>
      <c r="D18" s="30"/>
      <c r="E18" s="30"/>
      <c r="F18" s="32"/>
      <c r="G18" s="32"/>
      <c r="H18" s="32"/>
      <c r="I18" s="32"/>
      <c r="J18" s="32"/>
      <c r="K18" s="32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 ht="14.25" customHeight="1">
      <c r="A19" s="30"/>
      <c r="B19" s="30"/>
      <c r="C19" s="31"/>
      <c r="D19" s="30"/>
      <c r="E19" s="30"/>
      <c r="F19" s="32"/>
      <c r="G19" s="32"/>
      <c r="H19" s="32"/>
      <c r="I19" s="32"/>
      <c r="J19" s="32"/>
      <c r="K19" s="32"/>
      <c r="L19" s="30"/>
      <c r="M19" s="30"/>
      <c r="N19" s="30"/>
      <c r="O19" s="63" t="s">
        <v>86</v>
      </c>
      <c r="P19" s="64" t="str">
        <f>TODAY()</f>
        <v>8/27/2026</v>
      </c>
      <c r="Q19" s="64"/>
      <c r="R19" s="64"/>
      <c r="S19" s="64"/>
      <c r="T19" s="64"/>
      <c r="U19" s="64"/>
      <c r="V19" s="64"/>
      <c r="W19" s="64"/>
      <c r="X19" s="64"/>
      <c r="Y19" s="30"/>
      <c r="Z19" s="65"/>
      <c r="AA19" s="30"/>
      <c r="AB19" s="30"/>
      <c r="AC19" s="30"/>
      <c r="AD19" s="30"/>
      <c r="AE19" s="30"/>
      <c r="AF19" s="30"/>
      <c r="AG19" s="30"/>
      <c r="AH19" s="30"/>
    </row>
    <row r="20" ht="57.75" customHeight="1">
      <c r="A20" s="66"/>
      <c r="B20" s="66"/>
      <c r="C20" s="67"/>
      <c r="D20" s="68" t="s">
        <v>87</v>
      </c>
      <c r="E20" s="66"/>
      <c r="F20" s="68"/>
      <c r="G20" s="68"/>
      <c r="H20" s="68"/>
      <c r="I20" s="68"/>
      <c r="J20" s="68"/>
      <c r="K20" s="66"/>
      <c r="L20" s="68"/>
      <c r="M20" s="68"/>
      <c r="N20" s="66"/>
      <c r="O20" s="68" t="s">
        <v>88</v>
      </c>
      <c r="P20" s="66"/>
      <c r="Q20" s="66"/>
      <c r="R20" s="66"/>
      <c r="S20" s="68" t="s">
        <v>88</v>
      </c>
      <c r="T20" s="68"/>
      <c r="U20" s="68"/>
      <c r="V20" s="68"/>
      <c r="W20" s="68"/>
      <c r="X20" s="68"/>
      <c r="Y20" s="68" t="s">
        <v>88</v>
      </c>
      <c r="Z20" s="69"/>
      <c r="AA20" s="70"/>
      <c r="AB20" s="66"/>
      <c r="AC20" s="68"/>
      <c r="AD20" s="68"/>
      <c r="AE20" s="70"/>
      <c r="AF20" s="70"/>
      <c r="AG20" s="66"/>
      <c r="AH20" s="66"/>
    </row>
    <row r="21" ht="14.25" customHeight="1">
      <c r="A21" s="66"/>
      <c r="B21" s="66"/>
      <c r="C21" s="67"/>
      <c r="D21" s="68"/>
      <c r="E21" s="66"/>
      <c r="F21" s="68"/>
      <c r="G21" s="68"/>
      <c r="H21" s="68"/>
      <c r="I21" s="68"/>
      <c r="J21" s="68"/>
      <c r="K21" s="66"/>
      <c r="L21" s="68"/>
      <c r="M21" s="68"/>
      <c r="N21" s="66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9"/>
      <c r="AA21" s="70"/>
      <c r="AB21" s="68"/>
      <c r="AC21" s="68"/>
      <c r="AD21" s="68"/>
      <c r="AE21" s="70"/>
      <c r="AF21" s="70"/>
      <c r="AG21" s="66"/>
      <c r="AH21" s="66"/>
    </row>
    <row r="22" ht="14.25" customHeight="1">
      <c r="A22" s="66"/>
      <c r="B22" s="66"/>
      <c r="C22" s="67"/>
      <c r="D22" s="71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72"/>
      <c r="AA22" s="70"/>
      <c r="AB22" s="66"/>
      <c r="AC22" s="66"/>
      <c r="AD22" s="66"/>
      <c r="AE22" s="70"/>
      <c r="AF22" s="70"/>
      <c r="AG22" s="66"/>
      <c r="AH22" s="66"/>
    </row>
    <row r="23" ht="14.25" customHeight="1">
      <c r="A23" s="66"/>
      <c r="B23" s="66"/>
      <c r="C23" s="67"/>
      <c r="D23" s="71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73"/>
      <c r="Q23" s="73"/>
      <c r="R23" s="73"/>
      <c r="S23" s="66"/>
      <c r="T23" s="66"/>
      <c r="U23" s="66"/>
      <c r="V23" s="66"/>
      <c r="W23" s="66"/>
      <c r="X23" s="66"/>
      <c r="Y23" s="66"/>
      <c r="Z23" s="74"/>
      <c r="AA23" s="70"/>
      <c r="AB23" s="66"/>
      <c r="AC23" s="66"/>
      <c r="AD23" s="66"/>
      <c r="AE23" s="70"/>
      <c r="AF23" s="70"/>
      <c r="AG23" s="66"/>
      <c r="AH23" s="66"/>
    </row>
    <row r="24" ht="14.25" customHeight="1">
      <c r="A24" s="66"/>
      <c r="B24" s="66"/>
      <c r="C24" s="67"/>
      <c r="D24" s="71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70"/>
      <c r="AB24" s="66"/>
      <c r="AC24" s="66"/>
      <c r="AD24" s="66"/>
      <c r="AE24" s="70"/>
      <c r="AF24" s="70"/>
      <c r="AG24" s="66"/>
      <c r="AH24" s="66"/>
    </row>
    <row r="25" ht="14.25" customHeight="1">
      <c r="A25" s="66"/>
      <c r="B25" s="66"/>
      <c r="C25" s="67"/>
      <c r="D25" s="68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74"/>
      <c r="AA25" s="66"/>
      <c r="AB25" s="66"/>
      <c r="AC25" s="66"/>
      <c r="AD25" s="66"/>
      <c r="AE25" s="66"/>
      <c r="AF25" s="66"/>
      <c r="AG25" s="66"/>
      <c r="AH25" s="66"/>
    </row>
    <row r="26" ht="14.25" customHeight="1">
      <c r="A26" s="66"/>
      <c r="B26" s="66"/>
      <c r="C26" s="67"/>
      <c r="D26" s="68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74"/>
      <c r="AA26" s="66"/>
      <c r="AB26" s="66"/>
      <c r="AC26" s="66"/>
      <c r="AD26" s="66"/>
      <c r="AE26" s="66"/>
      <c r="AF26" s="66"/>
      <c r="AG26" s="66"/>
      <c r="AH26" s="66"/>
    </row>
    <row r="27" ht="14.25" customHeight="1">
      <c r="A27" s="66"/>
      <c r="B27" s="66"/>
      <c r="C27" s="67"/>
      <c r="D27" s="68" t="s">
        <v>89</v>
      </c>
      <c r="E27" s="66"/>
      <c r="F27" s="66"/>
      <c r="G27" s="66"/>
      <c r="H27" s="66"/>
      <c r="I27" s="66"/>
      <c r="J27" s="66"/>
      <c r="K27" s="66"/>
      <c r="L27" s="68"/>
      <c r="M27" s="68"/>
      <c r="N27" s="66"/>
      <c r="O27" s="68" t="s">
        <v>90</v>
      </c>
      <c r="P27" s="68"/>
      <c r="Q27" s="68"/>
      <c r="R27" s="68"/>
      <c r="S27" s="68" t="s">
        <v>91</v>
      </c>
      <c r="T27" s="68"/>
      <c r="U27" s="68"/>
      <c r="V27" s="68"/>
      <c r="W27" s="68"/>
      <c r="X27" s="68"/>
      <c r="Y27" s="68" t="s">
        <v>92</v>
      </c>
      <c r="Z27" s="68"/>
      <c r="AA27" s="66"/>
      <c r="AB27" s="68"/>
      <c r="AC27" s="68"/>
      <c r="AD27" s="68"/>
      <c r="AE27" s="66"/>
      <c r="AF27" s="66"/>
      <c r="AG27" s="66"/>
      <c r="AH27" s="68"/>
    </row>
    <row r="28" ht="14.25" customHeight="1">
      <c r="A28" s="66"/>
      <c r="B28" s="66"/>
      <c r="C28" s="67"/>
      <c r="D28" s="68" t="s">
        <v>93</v>
      </c>
      <c r="E28" s="66"/>
      <c r="F28" s="66"/>
      <c r="G28" s="66"/>
      <c r="H28" s="66"/>
      <c r="I28" s="66"/>
      <c r="J28" s="66"/>
      <c r="K28" s="66"/>
      <c r="L28" s="68"/>
      <c r="M28" s="68"/>
      <c r="N28" s="66"/>
      <c r="O28" s="68" t="s">
        <v>94</v>
      </c>
      <c r="P28" s="68"/>
      <c r="Q28" s="68"/>
      <c r="R28" s="68"/>
      <c r="S28" s="68" t="s">
        <v>95</v>
      </c>
      <c r="T28" s="68"/>
      <c r="U28" s="68"/>
      <c r="V28" s="68"/>
      <c r="W28" s="68"/>
      <c r="X28" s="68"/>
      <c r="Y28" s="68" t="s">
        <v>96</v>
      </c>
      <c r="Z28" s="69"/>
      <c r="AA28" s="66"/>
      <c r="AB28" s="68"/>
      <c r="AC28" s="68"/>
      <c r="AD28" s="68"/>
      <c r="AE28" s="66"/>
      <c r="AF28" s="66"/>
      <c r="AG28" s="66"/>
      <c r="AH28" s="68"/>
    </row>
    <row r="29" ht="14.25" customHeight="1">
      <c r="A29" s="30"/>
      <c r="B29" s="30"/>
      <c r="C29" s="31"/>
      <c r="D29" s="30"/>
      <c r="E29" s="30"/>
      <c r="F29" s="32"/>
      <c r="G29" s="32"/>
      <c r="H29" s="32"/>
      <c r="I29" s="32"/>
      <c r="J29" s="32"/>
      <c r="K29" s="32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 ht="14.25" customHeight="1">
      <c r="A30" s="30"/>
      <c r="B30" s="30"/>
      <c r="C30" s="31"/>
      <c r="D30" s="30"/>
      <c r="E30" s="30"/>
      <c r="F30" s="32"/>
      <c r="G30" s="32"/>
      <c r="H30" s="32"/>
      <c r="I30" s="32"/>
      <c r="J30" s="32"/>
      <c r="K30" s="32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 ht="14.25" customHeight="1">
      <c r="A31" s="30"/>
      <c r="B31" s="30"/>
      <c r="C31" s="31"/>
      <c r="D31" s="30"/>
      <c r="E31" s="30"/>
      <c r="F31" s="32"/>
      <c r="G31" s="32"/>
      <c r="H31" s="32"/>
      <c r="I31" s="32"/>
      <c r="J31" s="32"/>
      <c r="K31" s="32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 ht="14.25" customHeight="1">
      <c r="A32" s="30"/>
      <c r="B32" s="30"/>
      <c r="C32" s="31"/>
      <c r="D32" s="30"/>
      <c r="E32" s="30"/>
      <c r="F32" s="32"/>
      <c r="G32" s="32"/>
      <c r="H32" s="32"/>
      <c r="I32" s="32"/>
      <c r="J32" s="32"/>
      <c r="K32" s="32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 ht="14.25" customHeight="1">
      <c r="A33" s="30"/>
      <c r="B33" s="30"/>
      <c r="C33" s="31"/>
      <c r="D33" s="30"/>
      <c r="E33" s="30"/>
      <c r="F33" s="32"/>
      <c r="G33" s="32"/>
      <c r="H33" s="32"/>
      <c r="I33" s="32"/>
      <c r="J33" s="32"/>
      <c r="K33" s="32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 ht="14.25" customHeight="1">
      <c r="A34" s="30"/>
      <c r="B34" s="30"/>
      <c r="C34" s="31"/>
      <c r="D34" s="30"/>
      <c r="E34" s="30"/>
      <c r="F34" s="32"/>
      <c r="G34" s="32"/>
      <c r="H34" s="32"/>
      <c r="I34" s="32"/>
      <c r="J34" s="32"/>
      <c r="K34" s="32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 ht="14.25" customHeight="1">
      <c r="A35" s="30"/>
      <c r="B35" s="30"/>
      <c r="C35" s="31"/>
      <c r="D35" s="30"/>
      <c r="E35" s="30"/>
      <c r="F35" s="32"/>
      <c r="G35" s="32"/>
      <c r="H35" s="32"/>
      <c r="I35" s="32"/>
      <c r="J35" s="32"/>
      <c r="K35" s="32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 ht="14.25" customHeight="1">
      <c r="A36" s="30"/>
      <c r="B36" s="30"/>
      <c r="C36" s="31"/>
      <c r="D36" s="30"/>
      <c r="E36" s="30"/>
      <c r="F36" s="32"/>
      <c r="G36" s="32"/>
      <c r="H36" s="32"/>
      <c r="I36" s="32"/>
      <c r="J36" s="32"/>
      <c r="K36" s="32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 ht="14.25" customHeight="1">
      <c r="A37" s="30"/>
      <c r="B37" s="30"/>
      <c r="C37" s="31"/>
      <c r="D37" s="30"/>
      <c r="E37" s="30"/>
      <c r="F37" s="32"/>
      <c r="G37" s="32"/>
      <c r="H37" s="32"/>
      <c r="I37" s="32"/>
      <c r="J37" s="32"/>
      <c r="K37" s="32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 ht="14.25" customHeight="1">
      <c r="A38" s="30"/>
      <c r="B38" s="30"/>
      <c r="C38" s="31"/>
      <c r="D38" s="30"/>
      <c r="E38" s="30"/>
      <c r="F38" s="32"/>
      <c r="G38" s="32"/>
      <c r="H38" s="32"/>
      <c r="I38" s="32"/>
      <c r="J38" s="32"/>
      <c r="K38" s="32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 ht="14.25" customHeight="1">
      <c r="A39" s="30"/>
      <c r="B39" s="30"/>
      <c r="C39" s="31"/>
      <c r="D39" s="30"/>
      <c r="E39" s="30"/>
      <c r="F39" s="32"/>
      <c r="G39" s="32"/>
      <c r="H39" s="32"/>
      <c r="I39" s="32"/>
      <c r="J39" s="32"/>
      <c r="K39" s="32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 ht="14.25" customHeight="1">
      <c r="A40" s="30"/>
      <c r="B40" s="30"/>
      <c r="C40" s="31"/>
      <c r="D40" s="30"/>
      <c r="E40" s="30"/>
      <c r="F40" s="32"/>
      <c r="G40" s="32"/>
      <c r="H40" s="32"/>
      <c r="I40" s="32"/>
      <c r="J40" s="32"/>
      <c r="K40" s="32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 ht="14.25" customHeight="1">
      <c r="A41" s="30"/>
      <c r="B41" s="30"/>
      <c r="C41" s="31"/>
      <c r="D41" s="30"/>
      <c r="E41" s="30"/>
      <c r="F41" s="32"/>
      <c r="G41" s="32"/>
      <c r="H41" s="32"/>
      <c r="I41" s="32"/>
      <c r="J41" s="32"/>
      <c r="K41" s="32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 ht="14.25" customHeight="1">
      <c r="A42" s="30"/>
      <c r="B42" s="30"/>
      <c r="C42" s="31"/>
      <c r="D42" s="30"/>
      <c r="E42" s="30"/>
      <c r="F42" s="32"/>
      <c r="G42" s="32"/>
      <c r="H42" s="32"/>
      <c r="I42" s="32"/>
      <c r="J42" s="32"/>
      <c r="K42" s="32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 ht="14.25" customHeight="1">
      <c r="A43" s="30"/>
      <c r="B43" s="30"/>
      <c r="C43" s="31"/>
      <c r="D43" s="30"/>
      <c r="E43" s="30"/>
      <c r="F43" s="32"/>
      <c r="G43" s="32"/>
      <c r="H43" s="32"/>
      <c r="I43" s="32"/>
      <c r="J43" s="32"/>
      <c r="K43" s="32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 ht="14.25" customHeight="1">
      <c r="A44" s="30"/>
      <c r="B44" s="30"/>
      <c r="C44" s="31"/>
      <c r="D44" s="30"/>
      <c r="E44" s="30"/>
      <c r="F44" s="32"/>
      <c r="G44" s="32"/>
      <c r="H44" s="32"/>
      <c r="I44" s="32"/>
      <c r="J44" s="32"/>
      <c r="K44" s="32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 ht="14.25" customHeight="1">
      <c r="A45" s="30"/>
      <c r="B45" s="30"/>
      <c r="C45" s="31"/>
      <c r="D45" s="30"/>
      <c r="E45" s="30"/>
      <c r="F45" s="32"/>
      <c r="G45" s="32"/>
      <c r="H45" s="32"/>
      <c r="I45" s="32"/>
      <c r="J45" s="32"/>
      <c r="K45" s="32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 ht="14.25" customHeight="1">
      <c r="A46" s="30"/>
      <c r="B46" s="30"/>
      <c r="C46" s="31"/>
      <c r="D46" s="30"/>
      <c r="E46" s="30"/>
      <c r="F46" s="32"/>
      <c r="G46" s="32"/>
      <c r="H46" s="32"/>
      <c r="I46" s="32"/>
      <c r="J46" s="32"/>
      <c r="K46" s="32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 ht="14.25" customHeight="1">
      <c r="A47" s="30"/>
      <c r="B47" s="30"/>
      <c r="C47" s="31"/>
      <c r="D47" s="30"/>
      <c r="E47" s="30"/>
      <c r="F47" s="32"/>
      <c r="G47" s="32"/>
      <c r="H47" s="32"/>
      <c r="I47" s="32"/>
      <c r="J47" s="32"/>
      <c r="K47" s="32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 ht="14.25" customHeight="1">
      <c r="A48" s="30"/>
      <c r="B48" s="30"/>
      <c r="C48" s="31"/>
      <c r="D48" s="30"/>
      <c r="E48" s="30"/>
      <c r="F48" s="32"/>
      <c r="G48" s="32"/>
      <c r="H48" s="32"/>
      <c r="I48" s="32"/>
      <c r="J48" s="32"/>
      <c r="K48" s="32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 ht="14.25" customHeight="1">
      <c r="A49" s="30"/>
      <c r="B49" s="30"/>
      <c r="C49" s="31"/>
      <c r="D49" s="30"/>
      <c r="E49" s="30"/>
      <c r="F49" s="32"/>
      <c r="G49" s="32"/>
      <c r="H49" s="32"/>
      <c r="I49" s="32"/>
      <c r="J49" s="32"/>
      <c r="K49" s="32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 ht="14.25" customHeight="1">
      <c r="A50" s="30"/>
      <c r="B50" s="30"/>
      <c r="C50" s="31"/>
      <c r="D50" s="30"/>
      <c r="E50" s="30"/>
      <c r="F50" s="32"/>
      <c r="G50" s="32"/>
      <c r="H50" s="32"/>
      <c r="I50" s="32"/>
      <c r="J50" s="32"/>
      <c r="K50" s="32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 ht="14.25" customHeight="1">
      <c r="A51" s="30"/>
      <c r="B51" s="30"/>
      <c r="C51" s="31"/>
      <c r="D51" s="30"/>
      <c r="E51" s="30"/>
      <c r="F51" s="32"/>
      <c r="G51" s="32"/>
      <c r="H51" s="32"/>
      <c r="I51" s="32"/>
      <c r="J51" s="32"/>
      <c r="K51" s="32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 ht="14.25" customHeight="1">
      <c r="A52" s="30"/>
      <c r="B52" s="30"/>
      <c r="C52" s="31"/>
      <c r="D52" s="30"/>
      <c r="E52" s="30"/>
      <c r="F52" s="32"/>
      <c r="G52" s="32"/>
      <c r="H52" s="32"/>
      <c r="I52" s="32"/>
      <c r="J52" s="32"/>
      <c r="K52" s="32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 ht="14.25" customHeight="1">
      <c r="A53" s="30"/>
      <c r="B53" s="30"/>
      <c r="C53" s="31"/>
      <c r="D53" s="30"/>
      <c r="E53" s="30"/>
      <c r="F53" s="32"/>
      <c r="G53" s="32"/>
      <c r="H53" s="32"/>
      <c r="I53" s="32"/>
      <c r="J53" s="32"/>
      <c r="K53" s="32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 ht="14.25" customHeight="1">
      <c r="A54" s="30"/>
      <c r="B54" s="30"/>
      <c r="C54" s="31"/>
      <c r="D54" s="30"/>
      <c r="E54" s="30"/>
      <c r="F54" s="32"/>
      <c r="G54" s="32"/>
      <c r="H54" s="32"/>
      <c r="I54" s="32"/>
      <c r="J54" s="32"/>
      <c r="K54" s="32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 ht="14.25" customHeight="1">
      <c r="A55" s="30"/>
      <c r="B55" s="30"/>
      <c r="C55" s="31"/>
      <c r="D55" s="30"/>
      <c r="E55" s="30"/>
      <c r="F55" s="32"/>
      <c r="G55" s="32"/>
      <c r="H55" s="32"/>
      <c r="I55" s="32"/>
      <c r="J55" s="32"/>
      <c r="K55" s="32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 ht="14.25" customHeight="1">
      <c r="A56" s="30"/>
      <c r="B56" s="30"/>
      <c r="C56" s="31"/>
      <c r="D56" s="30"/>
      <c r="E56" s="30"/>
      <c r="F56" s="32"/>
      <c r="G56" s="32"/>
      <c r="H56" s="32"/>
      <c r="I56" s="32"/>
      <c r="J56" s="32"/>
      <c r="K56" s="32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 ht="14.25" customHeight="1">
      <c r="A57" s="30"/>
      <c r="B57" s="30"/>
      <c r="C57" s="31"/>
      <c r="D57" s="30"/>
      <c r="E57" s="30"/>
      <c r="F57" s="32"/>
      <c r="G57" s="32"/>
      <c r="H57" s="32"/>
      <c r="I57" s="32"/>
      <c r="J57" s="32"/>
      <c r="K57" s="32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 ht="14.25" customHeight="1">
      <c r="A58" s="30"/>
      <c r="B58" s="30"/>
      <c r="C58" s="31"/>
      <c r="D58" s="30"/>
      <c r="E58" s="30"/>
      <c r="F58" s="32"/>
      <c r="G58" s="32"/>
      <c r="H58" s="32"/>
      <c r="I58" s="32"/>
      <c r="J58" s="32"/>
      <c r="K58" s="32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 ht="14.25" customHeight="1">
      <c r="A59" s="30"/>
      <c r="B59" s="30"/>
      <c r="C59" s="31"/>
      <c r="D59" s="30"/>
      <c r="E59" s="30"/>
      <c r="F59" s="32"/>
      <c r="G59" s="32"/>
      <c r="H59" s="32"/>
      <c r="I59" s="32"/>
      <c r="J59" s="32"/>
      <c r="K59" s="32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 ht="14.25" customHeight="1">
      <c r="A60" s="30"/>
      <c r="B60" s="30"/>
      <c r="C60" s="31"/>
      <c r="D60" s="30"/>
      <c r="E60" s="30"/>
      <c r="F60" s="32"/>
      <c r="G60" s="32"/>
      <c r="H60" s="32"/>
      <c r="I60" s="32"/>
      <c r="J60" s="32"/>
      <c r="K60" s="32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 ht="14.25" customHeight="1">
      <c r="A61" s="30"/>
      <c r="B61" s="30"/>
      <c r="C61" s="31"/>
      <c r="D61" s="30"/>
      <c r="E61" s="30"/>
      <c r="F61" s="32"/>
      <c r="G61" s="32"/>
      <c r="H61" s="32"/>
      <c r="I61" s="32"/>
      <c r="J61" s="32"/>
      <c r="K61" s="32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 ht="14.25" customHeight="1">
      <c r="A62" s="30"/>
      <c r="B62" s="30"/>
      <c r="C62" s="31"/>
      <c r="D62" s="30"/>
      <c r="E62" s="30"/>
      <c r="F62" s="32"/>
      <c r="G62" s="32"/>
      <c r="H62" s="32"/>
      <c r="I62" s="32"/>
      <c r="J62" s="32"/>
      <c r="K62" s="32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 ht="14.25" customHeight="1">
      <c r="A63" s="30"/>
      <c r="B63" s="30"/>
      <c r="C63" s="31"/>
      <c r="D63" s="30"/>
      <c r="E63" s="30"/>
      <c r="F63" s="32"/>
      <c r="G63" s="32"/>
      <c r="H63" s="32"/>
      <c r="I63" s="32"/>
      <c r="J63" s="32"/>
      <c r="K63" s="32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 ht="14.25" customHeight="1">
      <c r="A64" s="30"/>
      <c r="B64" s="30"/>
      <c r="C64" s="31"/>
      <c r="D64" s="30"/>
      <c r="E64" s="30"/>
      <c r="F64" s="32"/>
      <c r="G64" s="32"/>
      <c r="H64" s="32"/>
      <c r="I64" s="32"/>
      <c r="J64" s="32"/>
      <c r="K64" s="32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 ht="14.25" customHeight="1">
      <c r="A65" s="30"/>
      <c r="B65" s="30"/>
      <c r="C65" s="31"/>
      <c r="D65" s="30"/>
      <c r="E65" s="30"/>
      <c r="F65" s="32"/>
      <c r="G65" s="32"/>
      <c r="H65" s="32"/>
      <c r="I65" s="32"/>
      <c r="J65" s="32"/>
      <c r="K65" s="32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 ht="14.25" customHeight="1">
      <c r="A66" s="30"/>
      <c r="B66" s="30"/>
      <c r="C66" s="31"/>
      <c r="D66" s="30"/>
      <c r="E66" s="30"/>
      <c r="F66" s="32"/>
      <c r="G66" s="32"/>
      <c r="H66" s="32"/>
      <c r="I66" s="32"/>
      <c r="J66" s="32"/>
      <c r="K66" s="32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 ht="14.25" customHeight="1">
      <c r="A67" s="30"/>
      <c r="B67" s="30"/>
      <c r="C67" s="31"/>
      <c r="D67" s="30"/>
      <c r="E67" s="30"/>
      <c r="F67" s="32"/>
      <c r="G67" s="32"/>
      <c r="H67" s="32"/>
      <c r="I67" s="32"/>
      <c r="J67" s="32"/>
      <c r="K67" s="32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 ht="14.25" customHeight="1">
      <c r="A68" s="30"/>
      <c r="B68" s="30"/>
      <c r="C68" s="31"/>
      <c r="D68" s="30"/>
      <c r="E68" s="30"/>
      <c r="F68" s="32"/>
      <c r="G68" s="32"/>
      <c r="H68" s="32"/>
      <c r="I68" s="32"/>
      <c r="J68" s="32"/>
      <c r="K68" s="32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 ht="14.25" customHeight="1">
      <c r="A69" s="30"/>
      <c r="B69" s="30"/>
      <c r="C69" s="31"/>
      <c r="D69" s="30"/>
      <c r="E69" s="30"/>
      <c r="F69" s="32"/>
      <c r="G69" s="32"/>
      <c r="H69" s="32"/>
      <c r="I69" s="32"/>
      <c r="J69" s="32"/>
      <c r="K69" s="32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 ht="14.25" customHeight="1">
      <c r="A70" s="30"/>
      <c r="B70" s="30"/>
      <c r="C70" s="31"/>
      <c r="D70" s="30"/>
      <c r="E70" s="30"/>
      <c r="F70" s="32"/>
      <c r="G70" s="32"/>
      <c r="H70" s="32"/>
      <c r="I70" s="32"/>
      <c r="J70" s="32"/>
      <c r="K70" s="32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 ht="14.25" customHeight="1">
      <c r="A71" s="30"/>
      <c r="B71" s="30"/>
      <c r="C71" s="31"/>
      <c r="D71" s="30"/>
      <c r="E71" s="30"/>
      <c r="F71" s="32"/>
      <c r="G71" s="32"/>
      <c r="H71" s="32"/>
      <c r="I71" s="32"/>
      <c r="J71" s="32"/>
      <c r="K71" s="32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 ht="14.25" customHeight="1">
      <c r="A72" s="30"/>
      <c r="B72" s="30"/>
      <c r="C72" s="31"/>
      <c r="D72" s="30"/>
      <c r="E72" s="30"/>
      <c r="F72" s="32"/>
      <c r="G72" s="32"/>
      <c r="H72" s="32"/>
      <c r="I72" s="32"/>
      <c r="J72" s="32"/>
      <c r="K72" s="32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 ht="14.25" customHeight="1">
      <c r="A73" s="30"/>
      <c r="B73" s="30"/>
      <c r="C73" s="31"/>
      <c r="D73" s="30"/>
      <c r="E73" s="30"/>
      <c r="F73" s="32"/>
      <c r="G73" s="32"/>
      <c r="H73" s="32"/>
      <c r="I73" s="32"/>
      <c r="J73" s="32"/>
      <c r="K73" s="32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 ht="14.25" customHeight="1">
      <c r="A74" s="30"/>
      <c r="B74" s="30"/>
      <c r="C74" s="31"/>
      <c r="D74" s="30"/>
      <c r="E74" s="30"/>
      <c r="F74" s="32"/>
      <c r="G74" s="32"/>
      <c r="H74" s="32"/>
      <c r="I74" s="32"/>
      <c r="J74" s="32"/>
      <c r="K74" s="32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 ht="14.25" customHeight="1">
      <c r="A75" s="30"/>
      <c r="B75" s="30"/>
      <c r="C75" s="31"/>
      <c r="D75" s="30"/>
      <c r="E75" s="30"/>
      <c r="F75" s="32"/>
      <c r="G75" s="32"/>
      <c r="H75" s="32"/>
      <c r="I75" s="32"/>
      <c r="J75" s="32"/>
      <c r="K75" s="32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 ht="14.25" customHeight="1">
      <c r="A76" s="30"/>
      <c r="B76" s="30"/>
      <c r="C76" s="31"/>
      <c r="D76" s="30"/>
      <c r="E76" s="30"/>
      <c r="F76" s="32"/>
      <c r="G76" s="32"/>
      <c r="H76" s="32"/>
      <c r="I76" s="32"/>
      <c r="J76" s="32"/>
      <c r="K76" s="32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 ht="14.25" customHeight="1">
      <c r="A77" s="30"/>
      <c r="B77" s="30"/>
      <c r="C77" s="31"/>
      <c r="D77" s="30"/>
      <c r="E77" s="30"/>
      <c r="F77" s="32"/>
      <c r="G77" s="32"/>
      <c r="H77" s="32"/>
      <c r="I77" s="32"/>
      <c r="J77" s="32"/>
      <c r="K77" s="32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 ht="14.25" customHeight="1">
      <c r="A78" s="30"/>
      <c r="B78" s="30"/>
      <c r="C78" s="31"/>
      <c r="D78" s="30"/>
      <c r="E78" s="30"/>
      <c r="F78" s="32"/>
      <c r="G78" s="32"/>
      <c r="H78" s="32"/>
      <c r="I78" s="32"/>
      <c r="J78" s="32"/>
      <c r="K78" s="32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 ht="14.25" customHeight="1">
      <c r="A79" s="30"/>
      <c r="B79" s="30"/>
      <c r="C79" s="31"/>
      <c r="D79" s="30"/>
      <c r="E79" s="30"/>
      <c r="F79" s="32"/>
      <c r="G79" s="32"/>
      <c r="H79" s="32"/>
      <c r="I79" s="32"/>
      <c r="J79" s="32"/>
      <c r="K79" s="32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 ht="14.25" customHeight="1">
      <c r="A80" s="30"/>
      <c r="B80" s="30"/>
      <c r="C80" s="31"/>
      <c r="D80" s="30"/>
      <c r="E80" s="30"/>
      <c r="F80" s="32"/>
      <c r="G80" s="32"/>
      <c r="H80" s="32"/>
      <c r="I80" s="32"/>
      <c r="J80" s="32"/>
      <c r="K80" s="32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 ht="14.25" customHeight="1">
      <c r="A81" s="30"/>
      <c r="B81" s="30"/>
      <c r="C81" s="31"/>
      <c r="D81" s="30"/>
      <c r="E81" s="30"/>
      <c r="F81" s="32"/>
      <c r="G81" s="32"/>
      <c r="H81" s="32"/>
      <c r="I81" s="32"/>
      <c r="J81" s="32"/>
      <c r="K81" s="32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 ht="14.25" customHeight="1">
      <c r="A82" s="30"/>
      <c r="B82" s="30"/>
      <c r="C82" s="31"/>
      <c r="D82" s="30"/>
      <c r="E82" s="30"/>
      <c r="F82" s="32"/>
      <c r="G82" s="32"/>
      <c r="H82" s="32"/>
      <c r="I82" s="32"/>
      <c r="J82" s="32"/>
      <c r="K82" s="32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 ht="14.25" customHeight="1">
      <c r="A83" s="30"/>
      <c r="B83" s="30"/>
      <c r="C83" s="31"/>
      <c r="D83" s="30"/>
      <c r="E83" s="30"/>
      <c r="F83" s="32"/>
      <c r="G83" s="32"/>
      <c r="H83" s="32"/>
      <c r="I83" s="32"/>
      <c r="J83" s="32"/>
      <c r="K83" s="32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 ht="14.25" customHeight="1">
      <c r="A84" s="30"/>
      <c r="B84" s="30"/>
      <c r="C84" s="31"/>
      <c r="D84" s="30"/>
      <c r="E84" s="30"/>
      <c r="F84" s="32"/>
      <c r="G84" s="32"/>
      <c r="H84" s="32"/>
      <c r="I84" s="32"/>
      <c r="J84" s="32"/>
      <c r="K84" s="32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 ht="14.25" customHeight="1">
      <c r="A85" s="30"/>
      <c r="B85" s="30"/>
      <c r="C85" s="31"/>
      <c r="D85" s="30"/>
      <c r="E85" s="30"/>
      <c r="F85" s="32"/>
      <c r="G85" s="32"/>
      <c r="H85" s="32"/>
      <c r="I85" s="32"/>
      <c r="J85" s="32"/>
      <c r="K85" s="32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 ht="14.25" customHeight="1">
      <c r="A86" s="30"/>
      <c r="B86" s="30"/>
      <c r="C86" s="31"/>
      <c r="D86" s="30"/>
      <c r="E86" s="30"/>
      <c r="F86" s="32"/>
      <c r="G86" s="32"/>
      <c r="H86" s="32"/>
      <c r="I86" s="32"/>
      <c r="J86" s="32"/>
      <c r="K86" s="32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 ht="14.25" customHeight="1">
      <c r="A87" s="30"/>
      <c r="B87" s="30"/>
      <c r="C87" s="31"/>
      <c r="D87" s="30"/>
      <c r="E87" s="30"/>
      <c r="F87" s="32"/>
      <c r="G87" s="32"/>
      <c r="H87" s="32"/>
      <c r="I87" s="32"/>
      <c r="J87" s="32"/>
      <c r="K87" s="32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 ht="14.25" customHeight="1">
      <c r="A88" s="30"/>
      <c r="B88" s="30"/>
      <c r="C88" s="31"/>
      <c r="D88" s="30"/>
      <c r="E88" s="30"/>
      <c r="F88" s="32"/>
      <c r="G88" s="32"/>
      <c r="H88" s="32"/>
      <c r="I88" s="32"/>
      <c r="J88" s="32"/>
      <c r="K88" s="32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 ht="14.25" customHeight="1">
      <c r="A89" s="30"/>
      <c r="B89" s="30"/>
      <c r="C89" s="31"/>
      <c r="D89" s="30"/>
      <c r="E89" s="30"/>
      <c r="F89" s="32"/>
      <c r="G89" s="32"/>
      <c r="H89" s="32"/>
      <c r="I89" s="32"/>
      <c r="J89" s="32"/>
      <c r="K89" s="32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 ht="14.25" customHeight="1">
      <c r="A90" s="30"/>
      <c r="B90" s="30"/>
      <c r="C90" s="31"/>
      <c r="D90" s="30"/>
      <c r="E90" s="30"/>
      <c r="F90" s="32"/>
      <c r="G90" s="32"/>
      <c r="H90" s="32"/>
      <c r="I90" s="32"/>
      <c r="J90" s="32"/>
      <c r="K90" s="32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 ht="14.25" customHeight="1">
      <c r="A91" s="30"/>
      <c r="B91" s="30"/>
      <c r="C91" s="31"/>
      <c r="D91" s="30"/>
      <c r="E91" s="30"/>
      <c r="F91" s="32"/>
      <c r="G91" s="32"/>
      <c r="H91" s="32"/>
      <c r="I91" s="32"/>
      <c r="J91" s="32"/>
      <c r="K91" s="32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 ht="14.25" customHeight="1">
      <c r="A92" s="30"/>
      <c r="B92" s="30"/>
      <c r="C92" s="31"/>
      <c r="D92" s="30"/>
      <c r="E92" s="30"/>
      <c r="F92" s="32"/>
      <c r="G92" s="32"/>
      <c r="H92" s="32"/>
      <c r="I92" s="32"/>
      <c r="J92" s="32"/>
      <c r="K92" s="32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 ht="14.25" customHeight="1">
      <c r="A93" s="30"/>
      <c r="B93" s="30"/>
      <c r="C93" s="31"/>
      <c r="D93" s="30"/>
      <c r="E93" s="30"/>
      <c r="F93" s="32"/>
      <c r="G93" s="32"/>
      <c r="H93" s="32"/>
      <c r="I93" s="32"/>
      <c r="J93" s="32"/>
      <c r="K93" s="32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 ht="14.25" customHeight="1">
      <c r="A94" s="30"/>
      <c r="B94" s="30"/>
      <c r="C94" s="31"/>
      <c r="D94" s="30"/>
      <c r="E94" s="30"/>
      <c r="F94" s="32"/>
      <c r="G94" s="32"/>
      <c r="H94" s="32"/>
      <c r="I94" s="32"/>
      <c r="J94" s="32"/>
      <c r="K94" s="32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 ht="14.25" customHeight="1">
      <c r="A95" s="30"/>
      <c r="B95" s="30"/>
      <c r="C95" s="31"/>
      <c r="D95" s="30"/>
      <c r="E95" s="30"/>
      <c r="F95" s="32"/>
      <c r="G95" s="32"/>
      <c r="H95" s="32"/>
      <c r="I95" s="32"/>
      <c r="J95" s="32"/>
      <c r="K95" s="32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 ht="14.25" customHeight="1">
      <c r="A96" s="30"/>
      <c r="B96" s="30"/>
      <c r="C96" s="31"/>
      <c r="D96" s="30"/>
      <c r="E96" s="30"/>
      <c r="F96" s="32"/>
      <c r="G96" s="32"/>
      <c r="H96" s="32"/>
      <c r="I96" s="32"/>
      <c r="J96" s="32"/>
      <c r="K96" s="32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 ht="14.25" customHeight="1">
      <c r="A97" s="30"/>
      <c r="B97" s="30"/>
      <c r="C97" s="31"/>
      <c r="D97" s="30"/>
      <c r="E97" s="30"/>
      <c r="F97" s="32"/>
      <c r="G97" s="32"/>
      <c r="H97" s="32"/>
      <c r="I97" s="32"/>
      <c r="J97" s="32"/>
      <c r="K97" s="32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 ht="14.25" customHeight="1">
      <c r="A98" s="30"/>
      <c r="B98" s="30"/>
      <c r="C98" s="31"/>
      <c r="D98" s="30"/>
      <c r="E98" s="30"/>
      <c r="F98" s="32"/>
      <c r="G98" s="32"/>
      <c r="H98" s="32"/>
      <c r="I98" s="32"/>
      <c r="J98" s="32"/>
      <c r="K98" s="32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 ht="14.25" customHeight="1">
      <c r="A99" s="30"/>
      <c r="B99" s="30"/>
      <c r="C99" s="31"/>
      <c r="D99" s="30"/>
      <c r="E99" s="30"/>
      <c r="F99" s="32"/>
      <c r="G99" s="32"/>
      <c r="H99" s="32"/>
      <c r="I99" s="32"/>
      <c r="J99" s="32"/>
      <c r="K99" s="32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 ht="14.25" customHeight="1">
      <c r="A100" s="30"/>
      <c r="B100" s="30"/>
      <c r="C100" s="31"/>
      <c r="D100" s="30"/>
      <c r="E100" s="30"/>
      <c r="F100" s="32"/>
      <c r="G100" s="32"/>
      <c r="H100" s="32"/>
      <c r="I100" s="32"/>
      <c r="J100" s="32"/>
      <c r="K100" s="32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</sheetData>
  <mergeCells count="1">
    <mergeCell ref="B16:K16"/>
  </mergeCells>
  <printOptions/>
  <pageMargins bottom="0.75" footer="0.0" header="0.0" left="0.25" right="0.25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Sheet new</vt:lpstr>
      <vt:lpstr>RAW</vt:lpstr>
      <vt:lpstr>FINAL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2019-01-29T05:57:00Z</dcterms:created>
  <dc:creator>user</dc:creator>
  <cp:lastModifiedBy>Lenovo</cp:lastModifiedBy>
  <cp:lastPrinted>2020-08-28T07:10:00Z</cp:lastPrinted>
  <dcterms:modified xsi:type="dcterms:W3CDTF">2026-08-27T10:07:38Z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1057-11.2.0.11440</vt:lpwstr>
  </property>
  <property fmtid="{D5CDD505-2E9C-101B-9397-08002B2CF9AE}" pid="3" name="WorkbookGuid">
    <vt:lpwstr>500ec845-84b3-42cd-a6fc-75b07df9e3ae</vt:lpwstr>
  </property>
  <property fmtid="{D5CDD505-2E9C-101B-9397-08002B2CF9AE}" pid="4" name="ICV">
    <vt:lpwstr>60D2135A4BC14057822C5F90400CD444</vt:lpwstr>
  </property>
</Properties>
</file>