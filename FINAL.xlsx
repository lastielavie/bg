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CE93213-AE7E-42E3-A03A-7CB61C6E657F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RAW" sheetId="2" r:id="rId1"/>
    <sheet name="FINAL" sheetId="3" r:id="rId2"/>
  </sheets>
  <definedNames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9" i="3" l="1"/>
  <c r="X15" i="3"/>
  <c r="W15" i="3"/>
  <c r="AA15" i="3" s="1"/>
  <c r="V15" i="3"/>
  <c r="U15" i="3"/>
  <c r="T15" i="3"/>
  <c r="S15" i="3"/>
  <c r="R15" i="3"/>
  <c r="Q15" i="3"/>
  <c r="P15" i="3"/>
  <c r="N15" i="3"/>
  <c r="L15" i="3"/>
  <c r="J15" i="3"/>
  <c r="F15" i="3"/>
  <c r="D15" i="3"/>
  <c r="X14" i="3"/>
  <c r="W14" i="3"/>
  <c r="V14" i="3"/>
  <c r="AA14" i="3" s="1"/>
  <c r="U14" i="3"/>
  <c r="T14" i="3"/>
  <c r="S14" i="3"/>
  <c r="R14" i="3"/>
  <c r="Q14" i="3"/>
  <c r="N14" i="3"/>
  <c r="L14" i="3"/>
  <c r="J14" i="3"/>
  <c r="F14" i="3"/>
  <c r="D14" i="3"/>
  <c r="X13" i="3"/>
  <c r="W13" i="3"/>
  <c r="V13" i="3"/>
  <c r="AA13" i="3" s="1"/>
  <c r="U13" i="3"/>
  <c r="T13" i="3"/>
  <c r="S13" i="3"/>
  <c r="R13" i="3"/>
  <c r="Q13" i="3"/>
  <c r="N13" i="3"/>
  <c r="L13" i="3"/>
  <c r="J13" i="3"/>
  <c r="F13" i="3"/>
  <c r="D13" i="3"/>
  <c r="X12" i="3"/>
  <c r="W12" i="3"/>
  <c r="V12" i="3"/>
  <c r="AA12" i="3" s="1"/>
  <c r="U12" i="3"/>
  <c r="T12" i="3"/>
  <c r="S12" i="3"/>
  <c r="R12" i="3"/>
  <c r="Q12" i="3"/>
  <c r="N12" i="3"/>
  <c r="L12" i="3"/>
  <c r="J12" i="3"/>
  <c r="F12" i="3"/>
  <c r="D12" i="3"/>
  <c r="X11" i="3"/>
  <c r="W11" i="3"/>
  <c r="V11" i="3"/>
  <c r="AA11" i="3" s="1"/>
  <c r="U11" i="3"/>
  <c r="T11" i="3"/>
  <c r="S11" i="3"/>
  <c r="R11" i="3"/>
  <c r="Q11" i="3"/>
  <c r="N11" i="3"/>
  <c r="L11" i="3"/>
  <c r="J11" i="3"/>
  <c r="F11" i="3"/>
  <c r="D11" i="3"/>
  <c r="X10" i="3"/>
  <c r="W10" i="3"/>
  <c r="V10" i="3"/>
  <c r="AA10" i="3" s="1"/>
  <c r="U10" i="3"/>
  <c r="T10" i="3"/>
  <c r="S10" i="3"/>
  <c r="R10" i="3"/>
  <c r="Q10" i="3"/>
  <c r="N10" i="3"/>
  <c r="L10" i="3"/>
  <c r="J10" i="3"/>
  <c r="F10" i="3"/>
  <c r="D10" i="3"/>
  <c r="X9" i="3"/>
  <c r="W9" i="3"/>
  <c r="V9" i="3"/>
  <c r="AA9" i="3" s="1"/>
  <c r="U9" i="3"/>
  <c r="T9" i="3"/>
  <c r="S9" i="3"/>
  <c r="R9" i="3"/>
  <c r="Q9" i="3"/>
  <c r="P9" i="3"/>
  <c r="N9" i="3"/>
  <c r="L9" i="3"/>
  <c r="J9" i="3"/>
  <c r="F9" i="3"/>
  <c r="D9" i="3"/>
  <c r="X8" i="3"/>
  <c r="X16" i="3" s="1"/>
  <c r="W8" i="3"/>
  <c r="W16" i="3" s="1"/>
  <c r="V8" i="3"/>
  <c r="V16" i="3" s="1"/>
  <c r="U8" i="3"/>
  <c r="U16" i="3" s="1"/>
  <c r="T8" i="3"/>
  <c r="T16" i="3" s="1"/>
  <c r="S8" i="3"/>
  <c r="S16" i="3" s="1"/>
  <c r="R8" i="3"/>
  <c r="R16" i="3" s="1"/>
  <c r="Q8" i="3"/>
  <c r="Q16" i="3" s="1"/>
  <c r="P8" i="3"/>
  <c r="N8" i="3"/>
  <c r="N16" i="3" s="1"/>
  <c r="L8" i="3"/>
  <c r="L16" i="3" s="1"/>
  <c r="J8" i="3"/>
  <c r="F8" i="3"/>
  <c r="D8" i="3"/>
  <c r="AF13" i="2"/>
  <c r="AC13" i="2"/>
  <c r="AA13" i="2"/>
  <c r="Z13" i="2"/>
  <c r="Y13" i="2"/>
  <c r="X13" i="2"/>
  <c r="W13" i="2"/>
  <c r="V13" i="2"/>
  <c r="U13" i="2"/>
  <c r="T13" i="2"/>
  <c r="P13" i="2"/>
  <c r="L13" i="2"/>
  <c r="I13" i="2"/>
  <c r="H13" i="2"/>
  <c r="G13" i="2"/>
  <c r="F13" i="2"/>
  <c r="E13" i="2"/>
  <c r="D13" i="2"/>
  <c r="C13" i="2"/>
  <c r="AG12" i="2"/>
  <c r="AB12" i="2"/>
  <c r="Y15" i="3" s="1"/>
  <c r="P12" i="2"/>
  <c r="N12" i="2"/>
  <c r="M12" i="2"/>
  <c r="L12" i="2"/>
  <c r="K12" i="2"/>
  <c r="J12" i="2"/>
  <c r="O12" i="2" s="1"/>
  <c r="AG11" i="2"/>
  <c r="S11" i="2"/>
  <c r="P14" i="3" s="1"/>
  <c r="P11" i="2"/>
  <c r="N11" i="2"/>
  <c r="M11" i="2"/>
  <c r="L11" i="2"/>
  <c r="K11" i="2"/>
  <c r="J11" i="2"/>
  <c r="O11" i="2" s="1"/>
  <c r="AG10" i="2"/>
  <c r="S10" i="2"/>
  <c r="P13" i="3" s="1"/>
  <c r="P10" i="2"/>
  <c r="N10" i="2"/>
  <c r="M10" i="2"/>
  <c r="L10" i="2"/>
  <c r="K10" i="2"/>
  <c r="J10" i="2"/>
  <c r="O10" i="2" s="1"/>
  <c r="AG9" i="2"/>
  <c r="S9" i="2"/>
  <c r="P12" i="3" s="1"/>
  <c r="P9" i="2"/>
  <c r="N9" i="2"/>
  <c r="M9" i="2"/>
  <c r="L9" i="2"/>
  <c r="K9" i="2"/>
  <c r="J9" i="2"/>
  <c r="O9" i="2" s="1"/>
  <c r="AE8" i="2"/>
  <c r="AE13" i="2" s="1"/>
  <c r="AB8" i="2"/>
  <c r="Y11" i="3" s="1"/>
  <c r="S8" i="2"/>
  <c r="P11" i="3" s="1"/>
  <c r="P8" i="2"/>
  <c r="N8" i="2"/>
  <c r="M8" i="2"/>
  <c r="L8" i="2"/>
  <c r="K8" i="2"/>
  <c r="O8" i="2" s="1"/>
  <c r="J8" i="2"/>
  <c r="AG7" i="2"/>
  <c r="AB7" i="2"/>
  <c r="Y10" i="3" s="1"/>
  <c r="S7" i="2"/>
  <c r="P10" i="3" s="1"/>
  <c r="P7" i="2"/>
  <c r="N7" i="2"/>
  <c r="M7" i="2"/>
  <c r="L7" i="2"/>
  <c r="K7" i="2"/>
  <c r="O7" i="2" s="1"/>
  <c r="J7" i="2"/>
  <c r="AG6" i="2"/>
  <c r="AB6" i="2"/>
  <c r="Y9" i="3" s="1"/>
  <c r="P6" i="2"/>
  <c r="N6" i="2"/>
  <c r="M6" i="2"/>
  <c r="L6" i="2"/>
  <c r="K6" i="2"/>
  <c r="J6" i="2"/>
  <c r="O6" i="2" s="1"/>
  <c r="AG5" i="2"/>
  <c r="AB5" i="2"/>
  <c r="Y8" i="3" s="1"/>
  <c r="P5" i="2"/>
  <c r="N5" i="2"/>
  <c r="N13" i="2" s="1"/>
  <c r="M5" i="2"/>
  <c r="M13" i="2" s="1"/>
  <c r="L5" i="2"/>
  <c r="K5" i="2"/>
  <c r="K13" i="2" s="1"/>
  <c r="J5" i="2"/>
  <c r="J13" i="2" s="1"/>
  <c r="M11" i="3" l="1"/>
  <c r="O11" i="3" s="1"/>
  <c r="Z11" i="3" s="1"/>
  <c r="AD8" i="2"/>
  <c r="Q8" i="2"/>
  <c r="Q9" i="2"/>
  <c r="M12" i="3"/>
  <c r="O12" i="3" s="1"/>
  <c r="Q10" i="2"/>
  <c r="M13" i="3"/>
  <c r="O13" i="3" s="1"/>
  <c r="M14" i="3"/>
  <c r="O14" i="3" s="1"/>
  <c r="Q11" i="2"/>
  <c r="M15" i="3"/>
  <c r="O15" i="3" s="1"/>
  <c r="Z15" i="3" s="1"/>
  <c r="Q12" i="2"/>
  <c r="AD12" i="2"/>
  <c r="P16" i="3"/>
  <c r="M10" i="3"/>
  <c r="O10" i="3" s="1"/>
  <c r="Z10" i="3" s="1"/>
  <c r="Q7" i="2"/>
  <c r="AD7" i="2"/>
  <c r="Q6" i="2"/>
  <c r="M9" i="3"/>
  <c r="O9" i="3" s="1"/>
  <c r="Z9" i="3" s="1"/>
  <c r="AD6" i="2"/>
  <c r="AB9" i="2"/>
  <c r="Y12" i="3" s="1"/>
  <c r="Y16" i="3" s="1"/>
  <c r="AB11" i="2"/>
  <c r="Y14" i="3" s="1"/>
  <c r="O5" i="2"/>
  <c r="AA8" i="3"/>
  <c r="AB10" i="2"/>
  <c r="Y13" i="3" s="1"/>
  <c r="AG8" i="2"/>
  <c r="AG13" i="2" s="1"/>
  <c r="S13" i="2"/>
  <c r="O13" i="2" l="1"/>
  <c r="R13" i="2" s="1"/>
  <c r="Q5" i="2"/>
  <c r="Q13" i="2" s="1"/>
  <c r="M8" i="3"/>
  <c r="AD5" i="2"/>
  <c r="AD13" i="2" s="1"/>
  <c r="Z14" i="3"/>
  <c r="AD9" i="2"/>
  <c r="Z13" i="3"/>
  <c r="Z12" i="3"/>
  <c r="AB13" i="2"/>
  <c r="AD11" i="2"/>
  <c r="AD10" i="2"/>
  <c r="M16" i="3" l="1"/>
  <c r="O8" i="3"/>
  <c r="O16" i="3" l="1"/>
  <c r="Z8" i="3"/>
  <c r="Z16" i="3" s="1"/>
</calcChain>
</file>

<file path=xl/sharedStrings.xml><?xml version="1.0" encoding="utf-8"?>
<sst xmlns="http://schemas.openxmlformats.org/spreadsheetml/2006/main" count="122" uniqueCount="81">
  <si>
    <t>ABDUL MUNAJAT</t>
  </si>
  <si>
    <t>EKO RISDIYANTORO JATIMULYA</t>
  </si>
  <si>
    <t>ARI MARWAN</t>
  </si>
  <si>
    <t>ARIFIN SANTOSO JATIMULYA</t>
  </si>
  <si>
    <t>YUVI NOFERIANTO</t>
  </si>
  <si>
    <t>Bagi Hasil Teknisi — Cabang JATIMULYA</t>
  </si>
  <si>
    <t>Periode: 24 Juli 2026 – 23 Agustus 2026 · Tarif: Interface 20%, Normal 30%, Mati Total 32%, Promo 60%, Lainnya 30%, pembanding flat 30%</t>
  </si>
  <si>
    <t>lencana teknisi 35,5%</t>
  </si>
  <si>
    <t>lencana teknisi 37,5%</t>
  </si>
  <si>
    <t>Nama Teknisi</t>
  </si>
  <si>
    <t>Cabang</t>
  </si>
  <si>
    <t>Baris</t>
  </si>
  <si>
    <t>Omzet Interface</t>
  </si>
  <si>
    <t>Omzet Normal</t>
  </si>
  <si>
    <t>Omzet Mati Total</t>
  </si>
  <si>
    <t>Omzet Promo</t>
  </si>
  <si>
    <t>Omzet Lainnya</t>
  </si>
  <si>
    <t>Omzet Jasa (Total)</t>
  </si>
  <si>
    <t>Bagi Hasil Interface</t>
  </si>
  <si>
    <t>Bagi Hasil Normal</t>
  </si>
  <si>
    <t>Bagi Hasil Mati Total</t>
  </si>
  <si>
    <t>Bagi Hasil Promo</t>
  </si>
  <si>
    <t>Bagi Hasil Lainnya</t>
  </si>
  <si>
    <t>Total Bagi Hasil (Aturan)</t>
  </si>
  <si>
    <t>Pembanding 30%</t>
  </si>
  <si>
    <t>Selisih</t>
  </si>
  <si>
    <t>Efektif %</t>
  </si>
  <si>
    <t>Potongan Refund</t>
  </si>
  <si>
    <t>Potongan AR</t>
  </si>
  <si>
    <t>Potongan Kasbon</t>
  </si>
  <si>
    <t>Keterlambatan</t>
  </si>
  <si>
    <t>Potongan Minus Audit</t>
  </si>
  <si>
    <t>Potongan Audit Compliance</t>
  </si>
  <si>
    <t>Biaya Pendaftaran Koperasi</t>
  </si>
  <si>
    <t>Simpanan Pokok</t>
  </si>
  <si>
    <t>Simpanan Wajib</t>
  </si>
  <si>
    <t>Total Potongan</t>
  </si>
  <si>
    <t>Gaji Teknisi</t>
  </si>
  <si>
    <t>Nett Bagi hasil</t>
  </si>
  <si>
    <t>Cadangan 7 Tahun / bulan</t>
  </si>
  <si>
    <t>Cadangan 7 Tahun</t>
  </si>
  <si>
    <t>Total Cadangan 7 Tahun</t>
  </si>
  <si>
    <t>JATIMULYA</t>
  </si>
  <si>
    <t>SYARIF HIDAYAT</t>
  </si>
  <si>
    <t>ROBI PRAYOGA</t>
  </si>
  <si>
    <t>IKANG TAUFIK (OPIK)</t>
  </si>
  <si>
    <t>TOTAL</t>
  </si>
  <si>
    <t>DAFTAR BAGI HASIL MFLASH JATIMULYA PT MADINAH MULTIMEDIA TELEKOMUNIKASI</t>
  </si>
  <si>
    <t>TEKNISI HANDPHONE &amp; LAPTOP</t>
  </si>
  <si>
    <t xml:space="preserve">PERIODE: </t>
  </si>
  <si>
    <t>AGUSTUS 2026</t>
  </si>
  <si>
    <t>NO</t>
  </si>
  <si>
    <t>NIK</t>
  </si>
  <si>
    <t>NAMA</t>
  </si>
  <si>
    <t>JABATAN</t>
  </si>
  <si>
    <t>LOKASI KERJA</t>
  </si>
  <si>
    <t xml:space="preserve">Bank </t>
  </si>
  <si>
    <t xml:space="preserve"> No. Rek. </t>
  </si>
  <si>
    <t xml:space="preserve"> A/n </t>
  </si>
  <si>
    <t>DATA REKENING</t>
  </si>
  <si>
    <t>STATUS KARYAWAN</t>
  </si>
  <si>
    <t>TOTAL LABA KOTOR JASA SERVICE HP</t>
  </si>
  <si>
    <t>PENERIMAAN BAGI HASIL</t>
  </si>
  <si>
    <t>PENDAPATAN LAIN-LAIN</t>
  </si>
  <si>
    <t>TOTAL PENDAPATAN</t>
  </si>
  <si>
    <t>BAGI HASIL NETT</t>
  </si>
  <si>
    <t>INFORMASI</t>
  </si>
  <si>
    <t>Teknisi</t>
  </si>
  <si>
    <t>BSI</t>
  </si>
  <si>
    <t>MITRA</t>
  </si>
  <si>
    <t>Jakarta,</t>
  </si>
  <si>
    <t>Approved by</t>
  </si>
  <si>
    <t>Prepared by</t>
  </si>
  <si>
    <t>Deni Darmawan</t>
  </si>
  <si>
    <t>Muhamad Yudisya Andita</t>
  </si>
  <si>
    <t>Galih Permana</t>
  </si>
  <si>
    <t>Zaskanul Tibalky</t>
  </si>
  <si>
    <t>Owner Madinah Group</t>
  </si>
  <si>
    <t>Corcomm</t>
  </si>
  <si>
    <t>Finance &amp; Acc Manager</t>
  </si>
  <si>
    <t>HR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</si>
</sst>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_(* #,##0_);_(* \(#,##0\);_(* &quot;-&quot;_);_(@_)"/>
    <numFmt numFmtId="166" formatCode="_(&quot;Rp&quot;* #,##0_);_(&quot;Rp&quot;* \(#,##0\);_(&quot;Rp&quot;* &quot;-&quot;_);_(@_)"/>
    <numFmt numFmtId="167" formatCode="0000000000000"/>
    <numFmt numFmtId="168" formatCode="_(* #,##0_);_(* \(#,##0\);_(* &quot;-&quot;??_);_(@_)"/>
  </numFmts>
  <fonts count="19">
    <font>
      <sz val="11"/>
      <color rgb="FF000000"/>
      <name val="Calibri"/>
      <scheme val="minor"/>
    </font>
    <font>
      <sz val="11"/>
      <name val="Calibri"/>
    </font>
    <font>
      <sz val="11"/>
      <name val="Calibri"/>
    </font>
    <font>
      <b/>
      <sz val="13"/>
      <color rgb="FF1F3864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name val="Calibri"/>
    </font>
    <font>
      <sz val="11"/>
      <name val="Cambria"/>
    </font>
    <font>
      <b/>
      <sz val="36"/>
      <name val="Cambria"/>
    </font>
    <font>
      <sz val="22"/>
      <name val="Cambria"/>
    </font>
    <font>
      <b/>
      <sz val="22"/>
      <name val="Cambria"/>
    </font>
    <font>
      <i/>
      <sz val="16"/>
      <name val="Cambria"/>
    </font>
    <font>
      <sz val="20"/>
      <name val="Cambria"/>
    </font>
    <font>
      <sz val="22"/>
      <color rgb="FF000000"/>
      <name val="Cambria"/>
    </font>
    <font>
      <b/>
      <sz val="24"/>
      <name val="Cambria"/>
    </font>
    <font>
      <b/>
      <sz val="18"/>
      <name val="Cambria"/>
    </font>
    <font>
      <b/>
      <sz val="26"/>
      <name val="Cambria"/>
    </font>
    <font>
      <sz val="26"/>
      <name val="Cambria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1F3864"/>
        <bgColor rgb="FF1F3864"/>
      </patternFill>
    </fill>
    <fill>
      <patternFill patternType="solid">
        <fgColor rgb="FFB45309"/>
        <bgColor rgb="FFB45309"/>
      </patternFill>
    </fill>
    <fill>
      <patternFill patternType="solid">
        <fgColor rgb="FFE36C09"/>
        <bgColor rgb="FFE36C09"/>
      </patternFill>
    </fill>
    <fill>
      <patternFill patternType="solid">
        <fgColor rgb="FF166534"/>
        <bgColor rgb="FF166534"/>
      </patternFill>
    </fill>
    <fill>
      <patternFill patternType="solid">
        <fgColor rgb="FFFFF8E1"/>
        <bgColor rgb="FFFFF8E1"/>
      </patternFill>
    </fill>
    <fill>
      <patternFill patternType="solid">
        <fgColor rgb="FFF4F7FB"/>
        <bgColor rgb="FFF4F7FB"/>
      </patternFill>
    </fill>
    <fill>
      <patternFill patternType="solid">
        <fgColor rgb="FFDCE6F1"/>
        <bgColor rgb="FFDCE6F1"/>
      </patternFill>
    </fill>
    <fill>
      <patternFill patternType="solid">
        <fgColor rgb="FFD9EAD3"/>
        <bgColor rgb="FFD9EAD3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00B05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8">
    <xf numFmtId="0" fontId="0" fillId="0" borderId="0" xfId="0" applyFont="1" applyAlignment="1">
      <alignment vertical="center"/>
    </xf>
    <xf numFmtId="0" fontId="3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1" fillId="3" borderId="5" xfId="0" applyFont="1" applyFill="1" applyBorder="1" applyAlignment="1"/>
    <xf numFmtId="9" fontId="1" fillId="0" borderId="0" xfId="0" applyNumberFormat="1" applyFont="1" applyAlignment="1"/>
    <xf numFmtId="0" fontId="5" fillId="4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/>
    <xf numFmtId="3" fontId="1" fillId="0" borderId="7" xfId="0" applyNumberFormat="1" applyFont="1" applyBorder="1" applyAlignment="1"/>
    <xf numFmtId="164" fontId="1" fillId="0" borderId="7" xfId="0" applyNumberFormat="1" applyFont="1" applyBorder="1" applyAlignment="1"/>
    <xf numFmtId="3" fontId="1" fillId="8" borderId="8" xfId="0" applyNumberFormat="1" applyFont="1" applyFill="1" applyBorder="1" applyAlignment="1"/>
    <xf numFmtId="0" fontId="1" fillId="9" borderId="8" xfId="0" applyFont="1" applyFill="1" applyBorder="1" applyAlignment="1"/>
    <xf numFmtId="3" fontId="1" fillId="9" borderId="8" xfId="0" applyNumberFormat="1" applyFont="1" applyFill="1" applyBorder="1" applyAlignment="1"/>
    <xf numFmtId="3" fontId="1" fillId="3" borderId="8" xfId="0" applyNumberFormat="1" applyFont="1" applyFill="1" applyBorder="1" applyAlignment="1"/>
    <xf numFmtId="164" fontId="1" fillId="9" borderId="8" xfId="0" applyNumberFormat="1" applyFont="1" applyFill="1" applyBorder="1" applyAlignment="1"/>
    <xf numFmtId="0" fontId="7" fillId="10" borderId="9" xfId="0" applyFont="1" applyFill="1" applyBorder="1" applyAlignment="1"/>
    <xf numFmtId="3" fontId="7" fillId="10" borderId="9" xfId="0" applyNumberFormat="1" applyFont="1" applyFill="1" applyBorder="1" applyAlignment="1"/>
    <xf numFmtId="164" fontId="7" fillId="10" borderId="9" xfId="0" applyNumberFormat="1" applyFont="1" applyFill="1" applyBorder="1" applyAlignment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17" fontId="9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11" borderId="4" xfId="0" applyFont="1" applyFill="1" applyBorder="1" applyAlignment="1">
      <alignment horizontal="center" vertical="center" wrapText="1"/>
    </xf>
    <xf numFmtId="49" fontId="11" fillId="11" borderId="4" xfId="0" applyNumberFormat="1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14" fontId="17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167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/>
    </xf>
    <xf numFmtId="168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0</xdr:row>
      <xdr:rowOff>104775</xdr:rowOff>
    </xdr:from>
    <xdr:ext cx="0" cy="1466850"/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6788050" y="109855"/>
          <a:ext cx="0" cy="1466850"/>
        </a:xfrm>
        <a:prstGeom prst="roundRect">
          <a:avLst/>
        </a:prstGeom>
        <a:solidFill>
          <a:schemeClr val="accent1"/>
        </a:solidFill>
        <a:ln w="25400" cap="flat" cmpd="sng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en-US" sz="4000" b="1" i="1"/>
            <a:t>RUMUS</a:t>
          </a: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"/>
  <sheetViews>
    <sheetView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28" customWidth="1"/>
    <col min="2" max="2" width="11" customWidth="1"/>
    <col min="3" max="3" width="10" customWidth="1"/>
    <col min="4" max="4" width="17" customWidth="1"/>
    <col min="5" max="5" width="14" customWidth="1"/>
    <col min="6" max="6" width="18" customWidth="1"/>
    <col min="7" max="7" width="13" customWidth="1"/>
    <col min="8" max="8" width="15" customWidth="1"/>
    <col min="9" max="9" width="20" customWidth="1"/>
    <col min="10" max="10" width="22" customWidth="1"/>
    <col min="11" max="11" width="20.140625" customWidth="1"/>
    <col min="12" max="12" width="23" customWidth="1"/>
    <col min="13" max="13" width="18" customWidth="1"/>
    <col min="14" max="14" width="20" customWidth="1"/>
    <col min="15" max="15" width="21" customWidth="1"/>
    <col min="16" max="16" width="16" customWidth="1"/>
    <col min="17" max="17" width="12" customWidth="1"/>
    <col min="18" max="18" width="11" customWidth="1"/>
    <col min="19" max="19" width="17" customWidth="1"/>
    <col min="20" max="20" width="13" customWidth="1"/>
    <col min="21" max="21" width="17" customWidth="1"/>
    <col min="22" max="22" width="15" customWidth="1"/>
    <col min="23" max="23" width="22" customWidth="1"/>
    <col min="24" max="24" width="27" customWidth="1"/>
    <col min="25" max="25" width="28" customWidth="1"/>
    <col min="26" max="28" width="16" customWidth="1"/>
    <col min="29" max="29" width="14" customWidth="1"/>
    <col min="30" max="30" width="17" customWidth="1"/>
    <col min="31" max="31" width="26" customWidth="1"/>
    <col min="32" max="32" width="18" customWidth="1"/>
    <col min="33" max="33" width="24" customWidth="1"/>
  </cols>
  <sheetData>
    <row r="1" spans="1:33" ht="17.25">
      <c r="A1" s="1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4" t="s">
        <v>7</v>
      </c>
      <c r="L2" s="4" t="s">
        <v>8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>
      <c r="A3" s="2"/>
      <c r="B3" s="2"/>
      <c r="C3" s="2"/>
      <c r="D3" s="2"/>
      <c r="E3" s="2"/>
      <c r="F3" s="2"/>
      <c r="G3" s="2"/>
      <c r="H3" s="2"/>
      <c r="I3" s="2"/>
      <c r="J3" s="5">
        <v>0.2</v>
      </c>
      <c r="K3" s="5">
        <v>0.3</v>
      </c>
      <c r="L3" s="5">
        <v>0.32</v>
      </c>
      <c r="M3" s="5">
        <v>0.6</v>
      </c>
      <c r="N3" s="5">
        <v>0.3</v>
      </c>
      <c r="O3" s="2"/>
      <c r="P3" s="2"/>
      <c r="Q3" s="2"/>
      <c r="R3" s="2"/>
      <c r="S3" s="5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6" t="s">
        <v>24</v>
      </c>
      <c r="Q4" s="6" t="s">
        <v>25</v>
      </c>
      <c r="R4" s="6" t="s">
        <v>26</v>
      </c>
      <c r="S4" s="8" t="s">
        <v>27</v>
      </c>
      <c r="T4" s="8" t="s">
        <v>28</v>
      </c>
      <c r="U4" s="8" t="s">
        <v>29</v>
      </c>
      <c r="V4" s="8" t="s">
        <v>30</v>
      </c>
      <c r="W4" s="8" t="s">
        <v>31</v>
      </c>
      <c r="X4" s="8" t="s">
        <v>32</v>
      </c>
      <c r="Y4" s="8" t="s">
        <v>33</v>
      </c>
      <c r="Z4" s="8" t="s">
        <v>34</v>
      </c>
      <c r="AA4" s="8" t="s">
        <v>35</v>
      </c>
      <c r="AB4" s="9" t="s">
        <v>36</v>
      </c>
      <c r="AC4" s="10" t="s">
        <v>37</v>
      </c>
      <c r="AD4" s="10" t="s">
        <v>38</v>
      </c>
      <c r="AE4" s="8" t="s">
        <v>39</v>
      </c>
      <c r="AF4" s="8" t="s">
        <v>40</v>
      </c>
      <c r="AG4" s="10" t="s">
        <v>41</v>
      </c>
    </row>
    <row r="5" spans="1:33">
      <c r="A5" s="11" t="s">
        <v>0</v>
      </c>
      <c r="B5" s="11" t="s">
        <v>42</v>
      </c>
      <c r="C5" s="12">
        <v>69</v>
      </c>
      <c r="D5" s="12">
        <v>14844000</v>
      </c>
      <c r="E5" s="12">
        <v>21284000</v>
      </c>
      <c r="F5" s="12">
        <v>3922000</v>
      </c>
      <c r="G5" s="12">
        <v>0</v>
      </c>
      <c r="H5" s="12">
        <v>350000</v>
      </c>
      <c r="I5" s="12">
        <v>40400000</v>
      </c>
      <c r="J5" s="12">
        <f t="shared" ref="J5:J12" si="0">D5*$J$3</f>
        <v>2968800</v>
      </c>
      <c r="K5" s="12">
        <f>E5*$K$3</f>
        <v>6385200</v>
      </c>
      <c r="L5" s="12">
        <f>F5*$L$3</f>
        <v>1255040</v>
      </c>
      <c r="M5" s="12">
        <f t="shared" ref="M5:M12" si="1">G5*$M$3</f>
        <v>0</v>
      </c>
      <c r="N5" s="12">
        <f t="shared" ref="N5:N12" si="2">H5*$N$3</f>
        <v>105000</v>
      </c>
      <c r="O5" s="12">
        <f t="shared" ref="O5:O12" si="3">SUM(J5:N5)</f>
        <v>10714040</v>
      </c>
      <c r="P5" s="12">
        <f t="shared" ref="P5:P12" si="4">I5*30%</f>
        <v>12120000</v>
      </c>
      <c r="Q5" s="12">
        <f t="shared" ref="Q5:Q12" si="5">O5-P5</f>
        <v>-1405960</v>
      </c>
      <c r="R5" s="13">
        <v>26.5</v>
      </c>
      <c r="S5" s="14"/>
      <c r="T5" s="14"/>
      <c r="U5" s="14"/>
      <c r="V5" s="14"/>
      <c r="W5" s="14"/>
      <c r="X5" s="14"/>
      <c r="Y5" s="14"/>
      <c r="Z5" s="14"/>
      <c r="AA5" s="14">
        <v>100000</v>
      </c>
      <c r="AB5" s="12">
        <f t="shared" ref="AB5:AB12" si="6">SUM(S5:AA5)</f>
        <v>100000</v>
      </c>
      <c r="AC5" s="12">
        <v>0</v>
      </c>
      <c r="AD5" s="12">
        <f t="shared" ref="AD5:AD12" si="7">O5-AB5</f>
        <v>10614040</v>
      </c>
      <c r="AE5" s="14"/>
      <c r="AF5" s="14"/>
      <c r="AG5" s="12">
        <f t="shared" ref="AG5:AG12" si="8">AE5+AF5</f>
        <v>0</v>
      </c>
    </row>
    <row r="6" spans="1:33">
      <c r="A6" s="15" t="s">
        <v>1</v>
      </c>
      <c r="B6" s="15" t="s">
        <v>42</v>
      </c>
      <c r="C6" s="16">
        <v>149</v>
      </c>
      <c r="D6" s="16">
        <v>9963500</v>
      </c>
      <c r="E6" s="16">
        <v>10939000</v>
      </c>
      <c r="F6" s="16">
        <v>5469000</v>
      </c>
      <c r="G6" s="16">
        <v>0</v>
      </c>
      <c r="H6" s="16">
        <v>7752000</v>
      </c>
      <c r="I6" s="16">
        <v>34123500</v>
      </c>
      <c r="J6" s="12">
        <f t="shared" si="0"/>
        <v>1992700</v>
      </c>
      <c r="K6" s="17">
        <f>E6*35.5%</f>
        <v>3883345</v>
      </c>
      <c r="L6" s="17">
        <f>F6*37.5%</f>
        <v>2050875</v>
      </c>
      <c r="M6" s="12">
        <f t="shared" si="1"/>
        <v>0</v>
      </c>
      <c r="N6" s="12">
        <f t="shared" si="2"/>
        <v>2325600</v>
      </c>
      <c r="O6" s="12">
        <f t="shared" si="3"/>
        <v>10252520</v>
      </c>
      <c r="P6" s="12">
        <f t="shared" si="4"/>
        <v>10237050</v>
      </c>
      <c r="Q6" s="12">
        <f t="shared" si="5"/>
        <v>15470</v>
      </c>
      <c r="R6" s="18">
        <v>30</v>
      </c>
      <c r="S6" s="14"/>
      <c r="T6" s="14"/>
      <c r="U6" s="14">
        <v>343805</v>
      </c>
      <c r="V6" s="14"/>
      <c r="W6" s="14"/>
      <c r="X6" s="14"/>
      <c r="Y6" s="14"/>
      <c r="Z6" s="14"/>
      <c r="AA6" s="14">
        <v>100000</v>
      </c>
      <c r="AB6" s="16">
        <f t="shared" si="6"/>
        <v>443805</v>
      </c>
      <c r="AC6" s="12">
        <v>0</v>
      </c>
      <c r="AD6" s="12">
        <f t="shared" si="7"/>
        <v>9808715</v>
      </c>
      <c r="AE6" s="14"/>
      <c r="AF6" s="14"/>
      <c r="AG6" s="16">
        <f t="shared" si="8"/>
        <v>0</v>
      </c>
    </row>
    <row r="7" spans="1:33">
      <c r="A7" s="11" t="s">
        <v>43</v>
      </c>
      <c r="B7" s="11" t="s">
        <v>42</v>
      </c>
      <c r="C7" s="12">
        <v>89</v>
      </c>
      <c r="D7" s="12">
        <v>13257000</v>
      </c>
      <c r="E7" s="12">
        <v>8620000</v>
      </c>
      <c r="F7" s="12">
        <v>9462000</v>
      </c>
      <c r="G7" s="12">
        <v>0</v>
      </c>
      <c r="H7" s="12">
        <v>0</v>
      </c>
      <c r="I7" s="12">
        <v>31339000</v>
      </c>
      <c r="J7" s="12">
        <f t="shared" si="0"/>
        <v>2651400</v>
      </c>
      <c r="K7" s="12">
        <f t="shared" ref="K7:K12" si="9">E7*$K$3</f>
        <v>2586000</v>
      </c>
      <c r="L7" s="12">
        <f t="shared" ref="L7:L12" si="10">F7*$L$3</f>
        <v>3027840</v>
      </c>
      <c r="M7" s="12">
        <f t="shared" si="1"/>
        <v>0</v>
      </c>
      <c r="N7" s="12">
        <f t="shared" si="2"/>
        <v>0</v>
      </c>
      <c r="O7" s="12">
        <f t="shared" si="3"/>
        <v>8265240</v>
      </c>
      <c r="P7" s="12">
        <f t="shared" si="4"/>
        <v>9401700</v>
      </c>
      <c r="Q7" s="12">
        <f t="shared" si="5"/>
        <v>-1136460</v>
      </c>
      <c r="R7" s="13">
        <v>26.4</v>
      </c>
      <c r="S7" s="14">
        <f>281000*30%</f>
        <v>84300</v>
      </c>
      <c r="T7" s="14"/>
      <c r="U7" s="14"/>
      <c r="V7" s="14"/>
      <c r="W7" s="14"/>
      <c r="X7" s="14"/>
      <c r="Y7" s="14"/>
      <c r="Z7" s="14"/>
      <c r="AA7" s="14">
        <v>100000</v>
      </c>
      <c r="AB7" s="12">
        <f t="shared" si="6"/>
        <v>184300</v>
      </c>
      <c r="AC7" s="12">
        <v>0</v>
      </c>
      <c r="AD7" s="12">
        <f t="shared" si="7"/>
        <v>8080940</v>
      </c>
      <c r="AE7" s="14"/>
      <c r="AF7" s="14"/>
      <c r="AG7" s="12">
        <f t="shared" si="8"/>
        <v>0</v>
      </c>
    </row>
    <row r="8" spans="1:33">
      <c r="A8" s="15" t="s">
        <v>3</v>
      </c>
      <c r="B8" s="15" t="s">
        <v>42</v>
      </c>
      <c r="C8" s="16">
        <v>56</v>
      </c>
      <c r="D8" s="16">
        <v>11493000</v>
      </c>
      <c r="E8" s="16">
        <v>10488000</v>
      </c>
      <c r="F8" s="16">
        <v>1331000</v>
      </c>
      <c r="G8" s="16">
        <v>0</v>
      </c>
      <c r="H8" s="16">
        <v>0</v>
      </c>
      <c r="I8" s="16">
        <v>23312000</v>
      </c>
      <c r="J8" s="12">
        <f t="shared" si="0"/>
        <v>2298600</v>
      </c>
      <c r="K8" s="12">
        <f t="shared" si="9"/>
        <v>3146400</v>
      </c>
      <c r="L8" s="12">
        <f t="shared" si="10"/>
        <v>425920</v>
      </c>
      <c r="M8" s="12">
        <f t="shared" si="1"/>
        <v>0</v>
      </c>
      <c r="N8" s="12">
        <f t="shared" si="2"/>
        <v>0</v>
      </c>
      <c r="O8" s="12">
        <f t="shared" si="3"/>
        <v>5870920</v>
      </c>
      <c r="P8" s="12">
        <f t="shared" si="4"/>
        <v>6993600</v>
      </c>
      <c r="Q8" s="12">
        <f t="shared" si="5"/>
        <v>-1122680</v>
      </c>
      <c r="R8" s="18">
        <v>25.2</v>
      </c>
      <c r="S8" s="14">
        <f>200000*30%</f>
        <v>60000</v>
      </c>
      <c r="T8" s="14"/>
      <c r="U8" s="14"/>
      <c r="V8" s="14"/>
      <c r="W8" s="14"/>
      <c r="X8" s="14"/>
      <c r="Y8" s="14"/>
      <c r="Z8" s="14"/>
      <c r="AA8" s="14">
        <v>100000</v>
      </c>
      <c r="AB8" s="16">
        <f t="shared" si="6"/>
        <v>160000</v>
      </c>
      <c r="AC8" s="12">
        <v>0</v>
      </c>
      <c r="AD8" s="12">
        <f t="shared" si="7"/>
        <v>5710920</v>
      </c>
      <c r="AE8" s="14">
        <f>I8*5%</f>
        <v>1165600</v>
      </c>
      <c r="AF8" s="14">
        <v>51560605.149999999</v>
      </c>
      <c r="AG8" s="16">
        <f t="shared" si="8"/>
        <v>52726205.149999999</v>
      </c>
    </row>
    <row r="9" spans="1:33">
      <c r="A9" s="11" t="s">
        <v>44</v>
      </c>
      <c r="B9" s="11" t="s">
        <v>42</v>
      </c>
      <c r="C9" s="12">
        <v>115</v>
      </c>
      <c r="D9" s="12">
        <v>13636000</v>
      </c>
      <c r="E9" s="12">
        <v>4399000</v>
      </c>
      <c r="F9" s="12">
        <v>0</v>
      </c>
      <c r="G9" s="12">
        <v>0</v>
      </c>
      <c r="H9" s="12">
        <v>731000</v>
      </c>
      <c r="I9" s="12">
        <v>18766000</v>
      </c>
      <c r="J9" s="12">
        <f t="shared" si="0"/>
        <v>2727200</v>
      </c>
      <c r="K9" s="12">
        <f t="shared" si="9"/>
        <v>1319700</v>
      </c>
      <c r="L9" s="12">
        <f t="shared" si="10"/>
        <v>0</v>
      </c>
      <c r="M9" s="12">
        <f t="shared" si="1"/>
        <v>0</v>
      </c>
      <c r="N9" s="12">
        <f t="shared" si="2"/>
        <v>219300</v>
      </c>
      <c r="O9" s="12">
        <f t="shared" si="3"/>
        <v>4266200</v>
      </c>
      <c r="P9" s="12">
        <f t="shared" si="4"/>
        <v>5629800</v>
      </c>
      <c r="Q9" s="12">
        <f t="shared" si="5"/>
        <v>-1363600</v>
      </c>
      <c r="R9" s="13">
        <v>22.7</v>
      </c>
      <c r="S9" s="14">
        <f>135000*20%</f>
        <v>27000</v>
      </c>
      <c r="T9" s="14"/>
      <c r="U9" s="14"/>
      <c r="V9" s="14"/>
      <c r="W9" s="14"/>
      <c r="X9" s="14"/>
      <c r="Y9" s="14">
        <v>30000</v>
      </c>
      <c r="Z9" s="14">
        <v>100000</v>
      </c>
      <c r="AA9" s="14"/>
      <c r="AB9" s="12">
        <f t="shared" si="6"/>
        <v>157000</v>
      </c>
      <c r="AC9" s="12">
        <v>0</v>
      </c>
      <c r="AD9" s="12">
        <f t="shared" si="7"/>
        <v>4109200</v>
      </c>
      <c r="AE9" s="14"/>
      <c r="AF9" s="14"/>
      <c r="AG9" s="12">
        <f t="shared" si="8"/>
        <v>0</v>
      </c>
    </row>
    <row r="10" spans="1:33">
      <c r="A10" s="15" t="s">
        <v>2</v>
      </c>
      <c r="B10" s="15" t="s">
        <v>42</v>
      </c>
      <c r="C10" s="16">
        <v>102</v>
      </c>
      <c r="D10" s="16">
        <v>9935750</v>
      </c>
      <c r="E10" s="16">
        <v>6455500</v>
      </c>
      <c r="F10" s="16">
        <v>135000</v>
      </c>
      <c r="G10" s="16">
        <v>0</v>
      </c>
      <c r="H10" s="16">
        <v>625000</v>
      </c>
      <c r="I10" s="16">
        <v>17151250</v>
      </c>
      <c r="J10" s="12">
        <f t="shared" si="0"/>
        <v>1987150</v>
      </c>
      <c r="K10" s="12">
        <f t="shared" si="9"/>
        <v>1936650</v>
      </c>
      <c r="L10" s="12">
        <f t="shared" si="10"/>
        <v>43200</v>
      </c>
      <c r="M10" s="12">
        <f t="shared" si="1"/>
        <v>0</v>
      </c>
      <c r="N10" s="12">
        <f t="shared" si="2"/>
        <v>187500</v>
      </c>
      <c r="O10" s="12">
        <f t="shared" si="3"/>
        <v>4154500</v>
      </c>
      <c r="P10" s="12">
        <f t="shared" si="4"/>
        <v>5145375</v>
      </c>
      <c r="Q10" s="12">
        <f t="shared" si="5"/>
        <v>-990875</v>
      </c>
      <c r="R10" s="18">
        <v>24.2</v>
      </c>
      <c r="S10" s="14">
        <f>400000*30%</f>
        <v>120000</v>
      </c>
      <c r="T10" s="14"/>
      <c r="U10" s="14"/>
      <c r="V10" s="14"/>
      <c r="W10" s="14"/>
      <c r="X10" s="14"/>
      <c r="Y10" s="14"/>
      <c r="Z10" s="14"/>
      <c r="AA10" s="14">
        <v>100000</v>
      </c>
      <c r="AB10" s="16">
        <f t="shared" si="6"/>
        <v>220000</v>
      </c>
      <c r="AC10" s="12">
        <v>0</v>
      </c>
      <c r="AD10" s="12">
        <f t="shared" si="7"/>
        <v>3934500</v>
      </c>
      <c r="AE10" s="14"/>
      <c r="AF10" s="14"/>
      <c r="AG10" s="16">
        <f t="shared" si="8"/>
        <v>0</v>
      </c>
    </row>
    <row r="11" spans="1:33">
      <c r="A11" s="11" t="s">
        <v>4</v>
      </c>
      <c r="B11" s="11" t="s">
        <v>42</v>
      </c>
      <c r="C11" s="12">
        <v>1</v>
      </c>
      <c r="D11" s="12">
        <v>0</v>
      </c>
      <c r="E11" s="12">
        <v>331000</v>
      </c>
      <c r="F11" s="12">
        <v>0</v>
      </c>
      <c r="G11" s="12">
        <v>0</v>
      </c>
      <c r="H11" s="12">
        <v>0</v>
      </c>
      <c r="I11" s="12">
        <v>331000</v>
      </c>
      <c r="J11" s="12">
        <f t="shared" si="0"/>
        <v>0</v>
      </c>
      <c r="K11" s="12">
        <f t="shared" si="9"/>
        <v>99300</v>
      </c>
      <c r="L11" s="12">
        <f t="shared" si="10"/>
        <v>0</v>
      </c>
      <c r="M11" s="12">
        <f t="shared" si="1"/>
        <v>0</v>
      </c>
      <c r="N11" s="12">
        <f t="shared" si="2"/>
        <v>0</v>
      </c>
      <c r="O11" s="12">
        <f t="shared" si="3"/>
        <v>99300</v>
      </c>
      <c r="P11" s="12">
        <f t="shared" si="4"/>
        <v>99300</v>
      </c>
      <c r="Q11" s="12">
        <f t="shared" si="5"/>
        <v>0</v>
      </c>
      <c r="R11" s="13">
        <v>30</v>
      </c>
      <c r="S11" s="14">
        <f>175000*30%</f>
        <v>52500</v>
      </c>
      <c r="T11" s="14"/>
      <c r="U11" s="14"/>
      <c r="V11" s="14"/>
      <c r="W11" s="14"/>
      <c r="X11" s="14"/>
      <c r="Y11" s="14"/>
      <c r="Z11" s="14"/>
      <c r="AA11" s="14"/>
      <c r="AB11" s="12">
        <f t="shared" si="6"/>
        <v>52500</v>
      </c>
      <c r="AC11" s="12">
        <v>0</v>
      </c>
      <c r="AD11" s="12">
        <f t="shared" si="7"/>
        <v>46800</v>
      </c>
      <c r="AE11" s="14"/>
      <c r="AF11" s="14"/>
      <c r="AG11" s="12">
        <f t="shared" si="8"/>
        <v>0</v>
      </c>
    </row>
    <row r="12" spans="1:33">
      <c r="A12" s="11" t="s">
        <v>45</v>
      </c>
      <c r="B12" s="11" t="s">
        <v>42</v>
      </c>
      <c r="C12" s="12">
        <v>1</v>
      </c>
      <c r="D12" s="12">
        <v>150000</v>
      </c>
      <c r="E12" s="12">
        <v>0</v>
      </c>
      <c r="F12" s="12">
        <v>0</v>
      </c>
      <c r="G12" s="12">
        <v>0</v>
      </c>
      <c r="H12" s="12">
        <v>0</v>
      </c>
      <c r="I12" s="12">
        <v>150000</v>
      </c>
      <c r="J12" s="12">
        <f t="shared" si="0"/>
        <v>30000</v>
      </c>
      <c r="K12" s="12">
        <f t="shared" si="9"/>
        <v>0</v>
      </c>
      <c r="L12" s="12">
        <f t="shared" si="10"/>
        <v>0</v>
      </c>
      <c r="M12" s="12">
        <f t="shared" si="1"/>
        <v>0</v>
      </c>
      <c r="N12" s="12">
        <f t="shared" si="2"/>
        <v>0</v>
      </c>
      <c r="O12" s="12">
        <f t="shared" si="3"/>
        <v>30000</v>
      </c>
      <c r="P12" s="12">
        <f t="shared" si="4"/>
        <v>45000</v>
      </c>
      <c r="Q12" s="12">
        <f t="shared" si="5"/>
        <v>-15000</v>
      </c>
      <c r="R12" s="13">
        <v>20</v>
      </c>
      <c r="S12" s="14"/>
      <c r="T12" s="14"/>
      <c r="U12" s="14"/>
      <c r="V12" s="14"/>
      <c r="W12" s="14"/>
      <c r="X12" s="14"/>
      <c r="Y12" s="14"/>
      <c r="Z12" s="14"/>
      <c r="AA12" s="14"/>
      <c r="AB12" s="12">
        <f t="shared" si="6"/>
        <v>0</v>
      </c>
      <c r="AC12" s="12">
        <v>0</v>
      </c>
      <c r="AD12" s="12">
        <f t="shared" si="7"/>
        <v>30000</v>
      </c>
      <c r="AE12" s="14"/>
      <c r="AF12" s="14"/>
      <c r="AG12" s="12">
        <f t="shared" si="8"/>
        <v>0</v>
      </c>
    </row>
    <row r="13" spans="1:33">
      <c r="A13" s="19" t="s">
        <v>46</v>
      </c>
      <c r="B13" s="19"/>
      <c r="C13" s="20">
        <f t="shared" ref="C13:Q13" si="11">SUM(C5:C12)</f>
        <v>582</v>
      </c>
      <c r="D13" s="20">
        <f t="shared" si="11"/>
        <v>73279250</v>
      </c>
      <c r="E13" s="20">
        <f t="shared" si="11"/>
        <v>62516500</v>
      </c>
      <c r="F13" s="20">
        <f t="shared" si="11"/>
        <v>20319000</v>
      </c>
      <c r="G13" s="20">
        <f t="shared" si="11"/>
        <v>0</v>
      </c>
      <c r="H13" s="20">
        <f t="shared" si="11"/>
        <v>9458000</v>
      </c>
      <c r="I13" s="20">
        <f t="shared" si="11"/>
        <v>165572750</v>
      </c>
      <c r="J13" s="20">
        <f t="shared" si="11"/>
        <v>14655850</v>
      </c>
      <c r="K13" s="20">
        <f t="shared" si="11"/>
        <v>19356595</v>
      </c>
      <c r="L13" s="20">
        <f t="shared" si="11"/>
        <v>6802875</v>
      </c>
      <c r="M13" s="20">
        <f t="shared" si="11"/>
        <v>0</v>
      </c>
      <c r="N13" s="20">
        <f t="shared" si="11"/>
        <v>2837400</v>
      </c>
      <c r="O13" s="20">
        <f t="shared" si="11"/>
        <v>43652720</v>
      </c>
      <c r="P13" s="20">
        <f t="shared" si="11"/>
        <v>49671825</v>
      </c>
      <c r="Q13" s="20">
        <f t="shared" si="11"/>
        <v>-6019105</v>
      </c>
      <c r="R13" s="21">
        <f>IF(I13=0,0,O13/I13*100)</f>
        <v>26.364676554565889</v>
      </c>
      <c r="S13" s="20">
        <f t="shared" ref="S13:AG13" si="12">SUM(S5:S12)</f>
        <v>343800</v>
      </c>
      <c r="T13" s="20">
        <f t="shared" si="12"/>
        <v>0</v>
      </c>
      <c r="U13" s="20">
        <f t="shared" si="12"/>
        <v>343805</v>
      </c>
      <c r="V13" s="20">
        <f t="shared" si="12"/>
        <v>0</v>
      </c>
      <c r="W13" s="20">
        <f t="shared" si="12"/>
        <v>0</v>
      </c>
      <c r="X13" s="20">
        <f t="shared" si="12"/>
        <v>0</v>
      </c>
      <c r="Y13" s="20">
        <f t="shared" si="12"/>
        <v>30000</v>
      </c>
      <c r="Z13" s="20">
        <f t="shared" si="12"/>
        <v>100000</v>
      </c>
      <c r="AA13" s="20">
        <f t="shared" si="12"/>
        <v>500000</v>
      </c>
      <c r="AB13" s="20">
        <f t="shared" si="12"/>
        <v>1317605</v>
      </c>
      <c r="AC13" s="20">
        <f t="shared" si="12"/>
        <v>0</v>
      </c>
      <c r="AD13" s="20">
        <f t="shared" si="12"/>
        <v>42335115</v>
      </c>
      <c r="AE13" s="20">
        <f t="shared" si="12"/>
        <v>1165600</v>
      </c>
      <c r="AF13" s="20">
        <f t="shared" si="12"/>
        <v>51560605.149999999</v>
      </c>
      <c r="AG13" s="20">
        <f t="shared" si="12"/>
        <v>52726205.149999999</v>
      </c>
    </row>
    <row r="14" spans="1:3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00"/>
  <sheetViews>
    <sheetView showGridLines="0" tabSelected="1" view="pageBreakPreview" zoomScale="40" zoomScaleNormal="55" zoomScaleSheetLayoutView="4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D15" sqref="D15"/>
    </sheetView>
  </sheetViews>
  <sheetFormatPr defaultColWidth="14.42578125" defaultRowHeight="15" customHeight="1"/>
  <cols>
    <col min="1" max="1" width="1.42578125" customWidth="1"/>
    <col min="2" max="2" width="9" customWidth="1"/>
    <col min="3" max="3" width="26.85546875" customWidth="1"/>
    <col min="4" max="4" width="62.7109375" customWidth="1"/>
    <col min="5" max="5" width="45.28515625" customWidth="1"/>
    <col min="6" max="6" width="26.140625" customWidth="1"/>
    <col min="7" max="7" width="49.85546875" customWidth="1"/>
    <col min="8" max="8" width="47" customWidth="1"/>
    <col min="9" max="9" width="69.42578125" customWidth="1"/>
    <col min="10" max="10" width="87.28515625" customWidth="1"/>
    <col min="11" max="11" width="22.85546875" customWidth="1"/>
    <col min="12" max="12" width="83.7109375" customWidth="1"/>
    <col min="13" max="13" width="38.7109375" customWidth="1"/>
    <col min="14" max="14" width="36.5703125" customWidth="1"/>
    <col min="15" max="15" width="47.28515625" customWidth="1"/>
    <col min="16" max="19" width="43.28515625" customWidth="1"/>
    <col min="20" max="24" width="34.42578125" customWidth="1"/>
    <col min="25" max="25" width="42" customWidth="1"/>
    <col min="26" max="26" width="39.85546875" customWidth="1"/>
    <col min="27" max="27" width="70.5703125" customWidth="1"/>
    <col min="28" max="34" width="13.140625" customWidth="1"/>
  </cols>
  <sheetData>
    <row r="1" spans="1:34" ht="14.25" customHeight="1">
      <c r="A1" s="22"/>
      <c r="B1" s="22"/>
      <c r="C1" s="23"/>
      <c r="D1" s="22"/>
      <c r="E1" s="22"/>
      <c r="F1" s="24"/>
      <c r="G1" s="24"/>
      <c r="H1" s="24"/>
      <c r="I1" s="24"/>
      <c r="J1" s="24"/>
      <c r="K1" s="24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ht="54.75" customHeight="1">
      <c r="A2" s="22"/>
      <c r="B2" s="25" t="s">
        <v>47</v>
      </c>
      <c r="C2" s="26"/>
      <c r="D2" s="26"/>
      <c r="E2" s="26"/>
      <c r="F2" s="26"/>
      <c r="G2" s="26"/>
      <c r="H2" s="26"/>
      <c r="I2" s="26"/>
      <c r="J2" s="26"/>
      <c r="K2" s="26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6"/>
      <c r="AB2" s="26"/>
      <c r="AC2" s="26"/>
      <c r="AD2" s="26"/>
      <c r="AE2" s="26"/>
      <c r="AF2" s="26"/>
      <c r="AG2" s="26"/>
      <c r="AH2" s="26"/>
    </row>
    <row r="3" spans="1:34" ht="54.75" customHeight="1">
      <c r="A3" s="22"/>
      <c r="B3" s="25" t="s">
        <v>48</v>
      </c>
      <c r="C3" s="26"/>
      <c r="D3" s="26"/>
      <c r="E3" s="26"/>
      <c r="F3" s="26"/>
      <c r="G3" s="26"/>
      <c r="H3" s="26"/>
      <c r="I3" s="26"/>
      <c r="J3" s="26"/>
      <c r="K3" s="2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6"/>
      <c r="AB3" s="26"/>
      <c r="AC3" s="26"/>
      <c r="AD3" s="26"/>
      <c r="AE3" s="26"/>
      <c r="AF3" s="26"/>
      <c r="AG3" s="26"/>
      <c r="AH3" s="26"/>
    </row>
    <row r="4" spans="1:34" ht="54.75" customHeight="1">
      <c r="A4" s="22"/>
      <c r="B4" s="25" t="s">
        <v>49</v>
      </c>
      <c r="C4" s="26"/>
      <c r="D4" s="28" t="s">
        <v>50</v>
      </c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6"/>
      <c r="AB4" s="26"/>
      <c r="AC4" s="26"/>
      <c r="AD4" s="26"/>
      <c r="AE4" s="26"/>
      <c r="AF4" s="26"/>
      <c r="AG4" s="26"/>
      <c r="AH4" s="26"/>
    </row>
    <row r="5" spans="1:34" ht="60" customHeight="1">
      <c r="A5" s="29"/>
      <c r="B5" s="29"/>
      <c r="C5" s="30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29"/>
      <c r="AC5" s="29"/>
      <c r="AD5" s="29"/>
      <c r="AE5" s="29"/>
      <c r="AF5" s="29"/>
      <c r="AG5" s="29"/>
      <c r="AH5" s="29"/>
    </row>
    <row r="6" spans="1:34" ht="16.5" customHeight="1">
      <c r="A6" s="32"/>
      <c r="B6" s="32"/>
      <c r="C6" s="33"/>
      <c r="D6" s="33"/>
      <c r="E6" s="32"/>
      <c r="F6" s="33"/>
      <c r="G6" s="33"/>
      <c r="H6" s="32"/>
      <c r="I6" s="33"/>
      <c r="J6" s="33"/>
      <c r="K6" s="32"/>
      <c r="L6" s="33"/>
      <c r="M6" s="33"/>
      <c r="N6" s="32"/>
      <c r="O6" s="33"/>
      <c r="P6" s="33"/>
      <c r="Q6" s="32"/>
      <c r="R6" s="33"/>
      <c r="S6" s="33"/>
      <c r="T6" s="32"/>
      <c r="U6" s="33"/>
      <c r="V6" s="32"/>
      <c r="W6" s="33"/>
      <c r="X6" s="32"/>
      <c r="Y6" s="33"/>
      <c r="Z6" s="32"/>
      <c r="AA6" s="33"/>
      <c r="AB6" s="32"/>
      <c r="AC6" s="32"/>
      <c r="AD6" s="32"/>
      <c r="AE6" s="32"/>
      <c r="AF6" s="32"/>
      <c r="AG6" s="32"/>
      <c r="AH6" s="32"/>
    </row>
    <row r="7" spans="1:34" ht="151.5" customHeight="1">
      <c r="A7" s="34"/>
      <c r="B7" s="35" t="s">
        <v>51</v>
      </c>
      <c r="C7" s="36" t="s">
        <v>52</v>
      </c>
      <c r="D7" s="35" t="s">
        <v>53</v>
      </c>
      <c r="E7" s="35" t="s">
        <v>54</v>
      </c>
      <c r="F7" s="35" t="s">
        <v>55</v>
      </c>
      <c r="G7" s="35" t="s">
        <v>56</v>
      </c>
      <c r="H7" s="36" t="s">
        <v>57</v>
      </c>
      <c r="I7" s="35" t="s">
        <v>58</v>
      </c>
      <c r="J7" s="35" t="s">
        <v>59</v>
      </c>
      <c r="K7" s="35" t="s">
        <v>60</v>
      </c>
      <c r="L7" s="35" t="s">
        <v>61</v>
      </c>
      <c r="M7" s="37" t="s">
        <v>62</v>
      </c>
      <c r="N7" s="37" t="s">
        <v>63</v>
      </c>
      <c r="O7" s="37" t="s">
        <v>64</v>
      </c>
      <c r="P7" s="38" t="s">
        <v>27</v>
      </c>
      <c r="Q7" s="38" t="s">
        <v>28</v>
      </c>
      <c r="R7" s="38" t="s">
        <v>29</v>
      </c>
      <c r="S7" s="38" t="s">
        <v>30</v>
      </c>
      <c r="T7" s="38" t="s">
        <v>31</v>
      </c>
      <c r="U7" s="38" t="s">
        <v>32</v>
      </c>
      <c r="V7" s="38" t="s">
        <v>33</v>
      </c>
      <c r="W7" s="38" t="s">
        <v>34</v>
      </c>
      <c r="X7" s="38" t="s">
        <v>35</v>
      </c>
      <c r="Y7" s="38" t="s">
        <v>36</v>
      </c>
      <c r="Z7" s="39" t="s">
        <v>65</v>
      </c>
      <c r="AA7" s="40" t="s">
        <v>66</v>
      </c>
      <c r="AB7" s="34"/>
      <c r="AC7" s="34"/>
      <c r="AD7" s="34"/>
      <c r="AE7" s="34"/>
      <c r="AF7" s="34"/>
      <c r="AG7" s="34"/>
      <c r="AH7" s="34"/>
    </row>
    <row r="8" spans="1:34" ht="60" customHeight="1">
      <c r="A8" s="41"/>
      <c r="B8" s="42">
        <v>1</v>
      </c>
      <c r="C8" s="43"/>
      <c r="D8" s="44" t="str">
        <f>RAW!A5</f>
        <v>ABDUL MUNAJAT</v>
      </c>
      <c r="E8" s="44" t="s">
        <v>67</v>
      </c>
      <c r="F8" s="42" t="str">
        <f>RAW!B5</f>
        <v>JATIMULYA</v>
      </c>
      <c r="G8" s="42" t="s">
        <v>68</v>
      </c>
      <c r="H8" s="42"/>
      <c r="I8" s="45"/>
      <c r="J8" s="42" t="str">
        <f t="shared" ref="J8:J15" si="0">CONCATENATE($G$7,G8,$H$7,H8,$I$7,I8)</f>
        <v xml:space="preserve">Bank BSI No. Rek.  A/n </v>
      </c>
      <c r="K8" s="42" t="s">
        <v>69</v>
      </c>
      <c r="L8" s="46">
        <f>RAW!I5</f>
        <v>40400000</v>
      </c>
      <c r="M8" s="46">
        <f>RAW!O5</f>
        <v>10714040</v>
      </c>
      <c r="N8" s="47">
        <f>RAW!AC5</f>
        <v>0</v>
      </c>
      <c r="O8" s="47">
        <f t="shared" ref="O8:O15" si="1">SUM(M8:N8)</f>
        <v>10714040</v>
      </c>
      <c r="P8" s="47">
        <f>RAW!S5</f>
        <v>0</v>
      </c>
      <c r="Q8" s="47">
        <f>RAW!T5</f>
        <v>0</v>
      </c>
      <c r="R8" s="47">
        <f>RAW!U5</f>
        <v>0</v>
      </c>
      <c r="S8" s="47">
        <f>RAW!V5</f>
        <v>0</v>
      </c>
      <c r="T8" s="47">
        <f>RAW!W5</f>
        <v>0</v>
      </c>
      <c r="U8" s="47">
        <f>RAW!X5</f>
        <v>0</v>
      </c>
      <c r="V8" s="47">
        <f>RAW!Y5</f>
        <v>0</v>
      </c>
      <c r="W8" s="47">
        <f>RAW!Z5</f>
        <v>0</v>
      </c>
      <c r="X8" s="47">
        <f>RAW!AA5</f>
        <v>100000</v>
      </c>
      <c r="Y8" s="47">
        <f>RAW!AB5</f>
        <v>100000</v>
      </c>
      <c r="Z8" s="47">
        <f t="shared" ref="Z8:Z15" si="2">O8-Y8</f>
        <v>10614040</v>
      </c>
      <c r="AA8" s="48" t="e">
        <f t="shared" ref="AA8:AA15" ca="1" si="3">_xludf.TEXTJOIN(" | ",TRUE,IF(V8&gt;0,"Biaya Pendaftaran Koperasi: "&amp;TEXT(V8,"#.##0"),""),IF(W8&gt;0,"Simpanan Pokok: "&amp;TEXT(W8,"#.##0"),""),IF(X8&gt;0,"Simpanan Wajib: "&amp;TEXT(X8,"#.##0"),""))</f>
        <v>#NAME?</v>
      </c>
      <c r="AB8" s="41"/>
      <c r="AC8" s="41"/>
      <c r="AD8" s="41"/>
      <c r="AE8" s="41"/>
      <c r="AF8" s="41"/>
      <c r="AG8" s="41"/>
      <c r="AH8" s="41"/>
    </row>
    <row r="9" spans="1:34" ht="60" customHeight="1">
      <c r="A9" s="41"/>
      <c r="B9" s="42">
        <v>2</v>
      </c>
      <c r="C9" s="43"/>
      <c r="D9" s="44" t="str">
        <f>RAW!A6</f>
        <v>EKO RISDIYANTORO JATIMULYA</v>
      </c>
      <c r="E9" s="44" t="s">
        <v>67</v>
      </c>
      <c r="F9" s="42" t="str">
        <f>RAW!B6</f>
        <v>JATIMULYA</v>
      </c>
      <c r="G9" s="42" t="s">
        <v>68</v>
      </c>
      <c r="H9" s="42"/>
      <c r="I9" s="45"/>
      <c r="J9" s="42" t="str">
        <f t="shared" si="0"/>
        <v xml:space="preserve">Bank BSI No. Rek.  A/n </v>
      </c>
      <c r="K9" s="42" t="s">
        <v>69</v>
      </c>
      <c r="L9" s="46">
        <f>RAW!I6</f>
        <v>34123500</v>
      </c>
      <c r="M9" s="46">
        <f>RAW!O6</f>
        <v>10252520</v>
      </c>
      <c r="N9" s="47">
        <f>RAW!AC6</f>
        <v>0</v>
      </c>
      <c r="O9" s="47">
        <f t="shared" si="1"/>
        <v>10252520</v>
      </c>
      <c r="P9" s="47">
        <f>RAW!S6</f>
        <v>0</v>
      </c>
      <c r="Q9" s="47">
        <f>RAW!T6</f>
        <v>0</v>
      </c>
      <c r="R9" s="47">
        <f>RAW!U6</f>
        <v>343805</v>
      </c>
      <c r="S9" s="47">
        <f>RAW!V6</f>
        <v>0</v>
      </c>
      <c r="T9" s="47">
        <f>RAW!W6</f>
        <v>0</v>
      </c>
      <c r="U9" s="47">
        <f>RAW!X6</f>
        <v>0</v>
      </c>
      <c r="V9" s="47">
        <f>RAW!Y6</f>
        <v>0</v>
      </c>
      <c r="W9" s="47">
        <f>RAW!Z6</f>
        <v>0</v>
      </c>
      <c r="X9" s="47">
        <f>RAW!AA6</f>
        <v>100000</v>
      </c>
      <c r="Y9" s="47">
        <f>RAW!AB6</f>
        <v>443805</v>
      </c>
      <c r="Z9" s="47">
        <f t="shared" si="2"/>
        <v>9808715</v>
      </c>
      <c r="AA9" s="48" t="e">
        <f t="shared" ca="1" si="3"/>
        <v>#NAME?</v>
      </c>
      <c r="AB9" s="41"/>
      <c r="AC9" s="41"/>
      <c r="AD9" s="41"/>
      <c r="AE9" s="41"/>
      <c r="AF9" s="41"/>
      <c r="AG9" s="41"/>
      <c r="AH9" s="41"/>
    </row>
    <row r="10" spans="1:34" ht="60" customHeight="1">
      <c r="A10" s="41"/>
      <c r="B10" s="42">
        <v>3</v>
      </c>
      <c r="C10" s="43"/>
      <c r="D10" s="44" t="str">
        <f>RAW!A7</f>
        <v>SYARIF HIDAYAT</v>
      </c>
      <c r="E10" s="44" t="s">
        <v>67</v>
      </c>
      <c r="F10" s="42" t="str">
        <f>RAW!B7</f>
        <v>JATIMULYA</v>
      </c>
      <c r="G10" s="42" t="s">
        <v>68</v>
      </c>
      <c r="H10" s="42"/>
      <c r="I10" s="45"/>
      <c r="J10" s="42" t="str">
        <f t="shared" si="0"/>
        <v xml:space="preserve">Bank BSI No. Rek.  A/n </v>
      </c>
      <c r="K10" s="42" t="s">
        <v>69</v>
      </c>
      <c r="L10" s="46">
        <f>RAW!I7</f>
        <v>31339000</v>
      </c>
      <c r="M10" s="46">
        <f>RAW!O7</f>
        <v>8265240</v>
      </c>
      <c r="N10" s="47">
        <f>RAW!AC7</f>
        <v>0</v>
      </c>
      <c r="O10" s="47">
        <f t="shared" si="1"/>
        <v>8265240</v>
      </c>
      <c r="P10" s="47">
        <f>RAW!S7</f>
        <v>84300</v>
      </c>
      <c r="Q10" s="47">
        <f>RAW!T7</f>
        <v>0</v>
      </c>
      <c r="R10" s="47">
        <f>RAW!U7</f>
        <v>0</v>
      </c>
      <c r="S10" s="47">
        <f>RAW!V7</f>
        <v>0</v>
      </c>
      <c r="T10" s="47">
        <f>RAW!W7</f>
        <v>0</v>
      </c>
      <c r="U10" s="47">
        <f>RAW!X7</f>
        <v>0</v>
      </c>
      <c r="V10" s="47">
        <f>RAW!Y7</f>
        <v>0</v>
      </c>
      <c r="W10" s="47">
        <f>RAW!Z7</f>
        <v>0</v>
      </c>
      <c r="X10" s="47">
        <f>RAW!AA7</f>
        <v>100000</v>
      </c>
      <c r="Y10" s="47">
        <f>RAW!AB7</f>
        <v>184300</v>
      </c>
      <c r="Z10" s="47">
        <f t="shared" si="2"/>
        <v>8080940</v>
      </c>
      <c r="AA10" s="48" t="e">
        <f t="shared" ca="1" si="3"/>
        <v>#NAME?</v>
      </c>
      <c r="AB10" s="41"/>
      <c r="AC10" s="41"/>
      <c r="AD10" s="41"/>
      <c r="AE10" s="41"/>
      <c r="AF10" s="41"/>
      <c r="AG10" s="41"/>
      <c r="AH10" s="41"/>
    </row>
    <row r="11" spans="1:34" ht="60" customHeight="1">
      <c r="A11" s="41"/>
      <c r="B11" s="42">
        <v>4</v>
      </c>
      <c r="C11" s="43"/>
      <c r="D11" s="44" t="str">
        <f>RAW!A8</f>
        <v>ARIFIN SANTOSO JATIMULYA</v>
      </c>
      <c r="E11" s="44" t="s">
        <v>67</v>
      </c>
      <c r="F11" s="42" t="str">
        <f>RAW!B8</f>
        <v>JATIMULYA</v>
      </c>
      <c r="G11" s="42" t="s">
        <v>68</v>
      </c>
      <c r="H11" s="42"/>
      <c r="I11" s="45"/>
      <c r="J11" s="42" t="str">
        <f t="shared" si="0"/>
        <v xml:space="preserve">Bank BSI No. Rek.  A/n </v>
      </c>
      <c r="K11" s="42" t="s">
        <v>69</v>
      </c>
      <c r="L11" s="46">
        <f>RAW!I8</f>
        <v>23312000</v>
      </c>
      <c r="M11" s="46">
        <f>RAW!O8</f>
        <v>5870920</v>
      </c>
      <c r="N11" s="47">
        <f>RAW!AC8</f>
        <v>0</v>
      </c>
      <c r="O11" s="47">
        <f t="shared" si="1"/>
        <v>5870920</v>
      </c>
      <c r="P11" s="47">
        <f>RAW!S8</f>
        <v>60000</v>
      </c>
      <c r="Q11" s="47">
        <f>RAW!T8</f>
        <v>0</v>
      </c>
      <c r="R11" s="47">
        <f>RAW!U8</f>
        <v>0</v>
      </c>
      <c r="S11" s="47">
        <f>RAW!V8</f>
        <v>0</v>
      </c>
      <c r="T11" s="47">
        <f>RAW!W8</f>
        <v>0</v>
      </c>
      <c r="U11" s="47">
        <f>RAW!X8</f>
        <v>0</v>
      </c>
      <c r="V11" s="47">
        <f>RAW!Y8</f>
        <v>0</v>
      </c>
      <c r="W11" s="47">
        <f>RAW!Z8</f>
        <v>0</v>
      </c>
      <c r="X11" s="47">
        <f>RAW!AA8</f>
        <v>100000</v>
      </c>
      <c r="Y11" s="47">
        <f>RAW!AB8</f>
        <v>160000</v>
      </c>
      <c r="Z11" s="47">
        <f t="shared" si="2"/>
        <v>5710920</v>
      </c>
      <c r="AA11" s="48" t="e">
        <f t="shared" ca="1" si="3"/>
        <v>#NAME?</v>
      </c>
      <c r="AB11" s="41"/>
      <c r="AC11" s="41"/>
      <c r="AD11" s="41"/>
      <c r="AE11" s="41"/>
      <c r="AF11" s="41"/>
      <c r="AG11" s="41"/>
      <c r="AH11" s="41"/>
    </row>
    <row r="12" spans="1:34" ht="60" customHeight="1">
      <c r="A12" s="41"/>
      <c r="B12" s="42">
        <v>5</v>
      </c>
      <c r="C12" s="43"/>
      <c r="D12" s="44" t="str">
        <f>RAW!A9</f>
        <v>ROBI PRAYOGA</v>
      </c>
      <c r="E12" s="44" t="s">
        <v>67</v>
      </c>
      <c r="F12" s="42" t="str">
        <f>RAW!B9</f>
        <v>JATIMULYA</v>
      </c>
      <c r="G12" s="42" t="s">
        <v>68</v>
      </c>
      <c r="H12" s="42"/>
      <c r="I12" s="44"/>
      <c r="J12" s="42" t="str">
        <f t="shared" si="0"/>
        <v xml:space="preserve">Bank BSI No. Rek.  A/n </v>
      </c>
      <c r="K12" s="42" t="s">
        <v>69</v>
      </c>
      <c r="L12" s="46">
        <f>RAW!I9</f>
        <v>18766000</v>
      </c>
      <c r="M12" s="46">
        <f>RAW!O9</f>
        <v>4266200</v>
      </c>
      <c r="N12" s="47">
        <f>RAW!AC9</f>
        <v>0</v>
      </c>
      <c r="O12" s="47">
        <f t="shared" si="1"/>
        <v>4266200</v>
      </c>
      <c r="P12" s="47">
        <f>RAW!S9</f>
        <v>27000</v>
      </c>
      <c r="Q12" s="47">
        <f>RAW!T9</f>
        <v>0</v>
      </c>
      <c r="R12" s="47">
        <f>RAW!U9</f>
        <v>0</v>
      </c>
      <c r="S12" s="47">
        <f>RAW!V9</f>
        <v>0</v>
      </c>
      <c r="T12" s="47">
        <f>RAW!W9</f>
        <v>0</v>
      </c>
      <c r="U12" s="47">
        <f>RAW!X9</f>
        <v>0</v>
      </c>
      <c r="V12" s="47">
        <f>RAW!Y9</f>
        <v>30000</v>
      </c>
      <c r="W12" s="47">
        <f>RAW!Z9</f>
        <v>100000</v>
      </c>
      <c r="X12" s="47">
        <f>RAW!AA9</f>
        <v>0</v>
      </c>
      <c r="Y12" s="47">
        <f>RAW!AB9</f>
        <v>157000</v>
      </c>
      <c r="Z12" s="47">
        <f t="shared" si="2"/>
        <v>4109200</v>
      </c>
      <c r="AA12" s="48" t="e">
        <f t="shared" ca="1" si="3"/>
        <v>#NAME?</v>
      </c>
      <c r="AB12" s="41"/>
      <c r="AC12" s="41"/>
      <c r="AD12" s="41"/>
      <c r="AE12" s="41"/>
      <c r="AF12" s="41"/>
      <c r="AG12" s="41"/>
      <c r="AH12" s="41"/>
    </row>
    <row r="13" spans="1:34" ht="60" customHeight="1">
      <c r="A13" s="41"/>
      <c r="B13" s="42">
        <v>6</v>
      </c>
      <c r="C13" s="43"/>
      <c r="D13" s="44" t="str">
        <f>RAW!A10</f>
        <v>ARI MARWAN</v>
      </c>
      <c r="E13" s="44" t="s">
        <v>67</v>
      </c>
      <c r="F13" s="42" t="str">
        <f>RAW!B10</f>
        <v>JATIMULYA</v>
      </c>
      <c r="G13" s="42" t="s">
        <v>68</v>
      </c>
      <c r="H13" s="42"/>
      <c r="I13" s="45"/>
      <c r="J13" s="42" t="str">
        <f t="shared" si="0"/>
        <v xml:space="preserve">Bank BSI No. Rek.  A/n </v>
      </c>
      <c r="K13" s="42" t="s">
        <v>69</v>
      </c>
      <c r="L13" s="46">
        <f>RAW!I10</f>
        <v>17151250</v>
      </c>
      <c r="M13" s="46">
        <f>RAW!O10</f>
        <v>4154500</v>
      </c>
      <c r="N13" s="47">
        <f>RAW!AC10</f>
        <v>0</v>
      </c>
      <c r="O13" s="47">
        <f t="shared" si="1"/>
        <v>4154500</v>
      </c>
      <c r="P13" s="47">
        <f>RAW!S10</f>
        <v>120000</v>
      </c>
      <c r="Q13" s="47">
        <f>RAW!T10</f>
        <v>0</v>
      </c>
      <c r="R13" s="47">
        <f>RAW!U10</f>
        <v>0</v>
      </c>
      <c r="S13" s="47">
        <f>RAW!V10</f>
        <v>0</v>
      </c>
      <c r="T13" s="47">
        <f>RAW!W10</f>
        <v>0</v>
      </c>
      <c r="U13" s="47">
        <f>RAW!X10</f>
        <v>0</v>
      </c>
      <c r="V13" s="47">
        <f>RAW!Y10</f>
        <v>0</v>
      </c>
      <c r="W13" s="47">
        <f>RAW!Z10</f>
        <v>0</v>
      </c>
      <c r="X13" s="47">
        <f>RAW!AA10</f>
        <v>100000</v>
      </c>
      <c r="Y13" s="47">
        <f>RAW!AB10</f>
        <v>220000</v>
      </c>
      <c r="Z13" s="47">
        <f t="shared" si="2"/>
        <v>3934500</v>
      </c>
      <c r="AA13" s="48" t="e">
        <f t="shared" ca="1" si="3"/>
        <v>#NAME?</v>
      </c>
      <c r="AB13" s="41"/>
      <c r="AC13" s="41"/>
      <c r="AD13" s="41"/>
      <c r="AE13" s="41"/>
      <c r="AF13" s="41"/>
      <c r="AG13" s="41"/>
      <c r="AH13" s="41"/>
    </row>
    <row r="14" spans="1:34" ht="60" customHeight="1">
      <c r="A14" s="41"/>
      <c r="B14" s="42">
        <v>7</v>
      </c>
      <c r="C14" s="43"/>
      <c r="D14" s="44" t="str">
        <f>RAW!A11</f>
        <v>YUVI NOFERIANTO</v>
      </c>
      <c r="E14" s="44" t="s">
        <v>67</v>
      </c>
      <c r="F14" s="42" t="str">
        <f>RAW!B11</f>
        <v>JATIMULYA</v>
      </c>
      <c r="G14" s="42" t="s">
        <v>68</v>
      </c>
      <c r="H14" s="42"/>
      <c r="I14" s="45"/>
      <c r="J14" s="42" t="str">
        <f t="shared" si="0"/>
        <v xml:space="preserve">Bank BSI No. Rek.  A/n </v>
      </c>
      <c r="K14" s="42" t="s">
        <v>69</v>
      </c>
      <c r="L14" s="46">
        <f>RAW!I11</f>
        <v>331000</v>
      </c>
      <c r="M14" s="46">
        <f>RAW!O11</f>
        <v>99300</v>
      </c>
      <c r="N14" s="47">
        <f>RAW!AC11</f>
        <v>0</v>
      </c>
      <c r="O14" s="47">
        <f t="shared" si="1"/>
        <v>99300</v>
      </c>
      <c r="P14" s="47">
        <f>RAW!S11</f>
        <v>52500</v>
      </c>
      <c r="Q14" s="47">
        <f>RAW!T11</f>
        <v>0</v>
      </c>
      <c r="R14" s="47">
        <f>RAW!U11</f>
        <v>0</v>
      </c>
      <c r="S14" s="47">
        <f>RAW!V11</f>
        <v>0</v>
      </c>
      <c r="T14" s="47">
        <f>RAW!W11</f>
        <v>0</v>
      </c>
      <c r="U14" s="47">
        <f>RAW!X11</f>
        <v>0</v>
      </c>
      <c r="V14" s="47">
        <f>RAW!Y11</f>
        <v>0</v>
      </c>
      <c r="W14" s="47">
        <f>RAW!Z11</f>
        <v>0</v>
      </c>
      <c r="X14" s="47">
        <f>RAW!AA11</f>
        <v>0</v>
      </c>
      <c r="Y14" s="47">
        <f>RAW!AB11</f>
        <v>52500</v>
      </c>
      <c r="Z14" s="47">
        <f t="shared" si="2"/>
        <v>46800</v>
      </c>
      <c r="AA14" s="48" t="e">
        <f t="shared" ca="1" si="3"/>
        <v>#NAME?</v>
      </c>
      <c r="AB14" s="41"/>
      <c r="AC14" s="41"/>
      <c r="AD14" s="41"/>
      <c r="AE14" s="41"/>
      <c r="AF14" s="41"/>
      <c r="AG14" s="41"/>
      <c r="AH14" s="41"/>
    </row>
    <row r="15" spans="1:34" ht="60" customHeight="1">
      <c r="A15" s="41"/>
      <c r="B15" s="42">
        <v>8</v>
      </c>
      <c r="C15" s="43"/>
      <c r="D15" s="44" t="str">
        <f>RAW!A12</f>
        <v>IKANG TAUFIK (OPIK)</v>
      </c>
      <c r="E15" s="44" t="s">
        <v>67</v>
      </c>
      <c r="F15" s="42" t="str">
        <f>RAW!B12</f>
        <v>JATIMULYA</v>
      </c>
      <c r="G15" s="42" t="s">
        <v>68</v>
      </c>
      <c r="H15" s="42"/>
      <c r="I15" s="44"/>
      <c r="J15" s="42" t="str">
        <f t="shared" si="0"/>
        <v xml:space="preserve">Bank BSI No. Rek.  A/n </v>
      </c>
      <c r="K15" s="42" t="s">
        <v>69</v>
      </c>
      <c r="L15" s="46">
        <f>RAW!I12</f>
        <v>150000</v>
      </c>
      <c r="M15" s="46">
        <f>RAW!O12</f>
        <v>30000</v>
      </c>
      <c r="N15" s="47">
        <f>RAW!AC12</f>
        <v>0</v>
      </c>
      <c r="O15" s="47">
        <f t="shared" si="1"/>
        <v>30000</v>
      </c>
      <c r="P15" s="47">
        <f>RAW!S12</f>
        <v>0</v>
      </c>
      <c r="Q15" s="47">
        <f>RAW!T12</f>
        <v>0</v>
      </c>
      <c r="R15" s="47">
        <f>RAW!U12</f>
        <v>0</v>
      </c>
      <c r="S15" s="47">
        <f>RAW!V12</f>
        <v>0</v>
      </c>
      <c r="T15" s="47">
        <f>RAW!W12</f>
        <v>0</v>
      </c>
      <c r="U15" s="47">
        <f>RAW!X12</f>
        <v>0</v>
      </c>
      <c r="V15" s="47">
        <f>RAW!Y12</f>
        <v>0</v>
      </c>
      <c r="W15" s="47">
        <f>RAW!Z12</f>
        <v>0</v>
      </c>
      <c r="X15" s="47">
        <f>RAW!AA12</f>
        <v>0</v>
      </c>
      <c r="Y15" s="47">
        <f>RAW!AB12</f>
        <v>0</v>
      </c>
      <c r="Z15" s="47">
        <f t="shared" si="2"/>
        <v>30000</v>
      </c>
      <c r="AA15" s="48" t="e">
        <f t="shared" ca="1" si="3"/>
        <v>#NAME?</v>
      </c>
      <c r="AB15" s="41"/>
      <c r="AC15" s="41"/>
      <c r="AD15" s="41"/>
      <c r="AE15" s="41"/>
      <c r="AF15" s="41"/>
      <c r="AG15" s="41"/>
      <c r="AH15" s="41"/>
    </row>
    <row r="16" spans="1:34" ht="69" customHeight="1">
      <c r="A16" s="49"/>
      <c r="B16" s="65" t="s">
        <v>46</v>
      </c>
      <c r="C16" s="66"/>
      <c r="D16" s="66"/>
      <c r="E16" s="66"/>
      <c r="F16" s="66"/>
      <c r="G16" s="66"/>
      <c r="H16" s="66"/>
      <c r="I16" s="66"/>
      <c r="J16" s="66"/>
      <c r="K16" s="67"/>
      <c r="L16" s="50">
        <f t="shared" ref="L16:Z16" si="4">SUM(L8:L15)</f>
        <v>165572750</v>
      </c>
      <c r="M16" s="50">
        <f t="shared" si="4"/>
        <v>43652720</v>
      </c>
      <c r="N16" s="50">
        <f t="shared" si="4"/>
        <v>0</v>
      </c>
      <c r="O16" s="50">
        <f t="shared" si="4"/>
        <v>43652720</v>
      </c>
      <c r="P16" s="50">
        <f t="shared" si="4"/>
        <v>343800</v>
      </c>
      <c r="Q16" s="50">
        <f t="shared" si="4"/>
        <v>0</v>
      </c>
      <c r="R16" s="50">
        <f t="shared" si="4"/>
        <v>343805</v>
      </c>
      <c r="S16" s="50">
        <f t="shared" si="4"/>
        <v>0</v>
      </c>
      <c r="T16" s="50">
        <f t="shared" si="4"/>
        <v>0</v>
      </c>
      <c r="U16" s="50">
        <f t="shared" si="4"/>
        <v>0</v>
      </c>
      <c r="V16" s="50">
        <f t="shared" si="4"/>
        <v>30000</v>
      </c>
      <c r="W16" s="50">
        <f t="shared" si="4"/>
        <v>100000</v>
      </c>
      <c r="X16" s="50">
        <f t="shared" si="4"/>
        <v>500000</v>
      </c>
      <c r="Y16" s="50">
        <f t="shared" si="4"/>
        <v>1317605</v>
      </c>
      <c r="Z16" s="50">
        <f t="shared" si="4"/>
        <v>42335115</v>
      </c>
      <c r="AA16" s="51"/>
      <c r="AB16" s="49"/>
      <c r="AC16" s="49"/>
      <c r="AD16" s="49"/>
      <c r="AE16" s="49"/>
      <c r="AF16" s="49"/>
      <c r="AG16" s="49"/>
      <c r="AH16" s="49"/>
    </row>
    <row r="17" spans="1:34" ht="25.5" customHeight="1">
      <c r="A17" s="22"/>
      <c r="B17" s="31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52"/>
      <c r="AB17" s="22"/>
      <c r="AC17" s="22"/>
      <c r="AD17" s="22"/>
      <c r="AE17" s="22"/>
      <c r="AF17" s="22"/>
      <c r="AG17" s="22"/>
      <c r="AH17" s="22"/>
    </row>
    <row r="18" spans="1:34" ht="14.25" customHeight="1">
      <c r="A18" s="22"/>
      <c r="B18" s="22"/>
      <c r="C18" s="23"/>
      <c r="D18" s="22"/>
      <c r="E18" s="22"/>
      <c r="F18" s="24"/>
      <c r="G18" s="24"/>
      <c r="H18" s="24"/>
      <c r="I18" s="24"/>
      <c r="J18" s="24"/>
      <c r="K18" s="24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</row>
    <row r="19" spans="1:34" ht="14.25" customHeight="1">
      <c r="A19" s="22"/>
      <c r="B19" s="22"/>
      <c r="C19" s="23"/>
      <c r="D19" s="22"/>
      <c r="E19" s="22"/>
      <c r="F19" s="24"/>
      <c r="G19" s="24"/>
      <c r="H19" s="24"/>
      <c r="I19" s="24"/>
      <c r="J19" s="24"/>
      <c r="K19" s="24"/>
      <c r="L19" s="22"/>
      <c r="M19" s="22"/>
      <c r="N19" s="22"/>
      <c r="O19" s="53" t="s">
        <v>70</v>
      </c>
      <c r="P19" s="54">
        <f ca="1">TODAY()</f>
        <v>46282</v>
      </c>
      <c r="Q19" s="54"/>
      <c r="R19" s="54"/>
      <c r="S19" s="54"/>
      <c r="T19" s="54"/>
      <c r="U19" s="54"/>
      <c r="V19" s="54"/>
      <c r="W19" s="54"/>
      <c r="X19" s="54"/>
      <c r="Y19" s="22"/>
      <c r="Z19" s="55"/>
      <c r="AA19" s="22"/>
      <c r="AB19" s="22"/>
      <c r="AC19" s="22"/>
      <c r="AD19" s="22"/>
      <c r="AE19" s="22"/>
      <c r="AF19" s="22"/>
      <c r="AG19" s="22"/>
      <c r="AH19" s="22"/>
    </row>
    <row r="20" spans="1:34" ht="57.75" customHeight="1">
      <c r="A20" s="56"/>
      <c r="B20" s="56"/>
      <c r="C20" s="57"/>
      <c r="D20" s="58" t="s">
        <v>71</v>
      </c>
      <c r="E20" s="56"/>
      <c r="F20" s="58"/>
      <c r="G20" s="58"/>
      <c r="H20" s="58"/>
      <c r="I20" s="58"/>
      <c r="J20" s="58"/>
      <c r="K20" s="56"/>
      <c r="L20" s="58"/>
      <c r="M20" s="58"/>
      <c r="N20" s="56"/>
      <c r="O20" s="58" t="s">
        <v>72</v>
      </c>
      <c r="P20" s="56"/>
      <c r="Q20" s="56"/>
      <c r="R20" s="56"/>
      <c r="S20" s="58" t="s">
        <v>72</v>
      </c>
      <c r="T20" s="58"/>
      <c r="U20" s="58"/>
      <c r="V20" s="58"/>
      <c r="W20" s="58"/>
      <c r="X20" s="58"/>
      <c r="Y20" s="58" t="s">
        <v>72</v>
      </c>
      <c r="Z20" s="59"/>
      <c r="AA20" s="60"/>
      <c r="AB20" s="56"/>
      <c r="AC20" s="58"/>
      <c r="AD20" s="58"/>
      <c r="AE20" s="60"/>
      <c r="AF20" s="60"/>
      <c r="AG20" s="56"/>
      <c r="AH20" s="56"/>
    </row>
    <row r="21" spans="1:34" ht="14.25" customHeight="1">
      <c r="A21" s="56"/>
      <c r="B21" s="56"/>
      <c r="C21" s="57"/>
      <c r="D21" s="58"/>
      <c r="E21" s="56"/>
      <c r="F21" s="58"/>
      <c r="G21" s="58"/>
      <c r="H21" s="58"/>
      <c r="I21" s="58"/>
      <c r="J21" s="58"/>
      <c r="K21" s="56"/>
      <c r="L21" s="58"/>
      <c r="M21" s="58"/>
      <c r="N21" s="56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9"/>
      <c r="AA21" s="60"/>
      <c r="AB21" s="58"/>
      <c r="AC21" s="58"/>
      <c r="AD21" s="58"/>
      <c r="AE21" s="60"/>
      <c r="AF21" s="60"/>
      <c r="AG21" s="56"/>
      <c r="AH21" s="56"/>
    </row>
    <row r="22" spans="1:34" ht="14.25" customHeight="1">
      <c r="A22" s="56"/>
      <c r="B22" s="56"/>
      <c r="C22" s="57"/>
      <c r="D22" s="61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62"/>
      <c r="AA22" s="60"/>
      <c r="AB22" s="56"/>
      <c r="AC22" s="56"/>
      <c r="AD22" s="56"/>
      <c r="AE22" s="60"/>
      <c r="AF22" s="60"/>
      <c r="AG22" s="56"/>
      <c r="AH22" s="56"/>
    </row>
    <row r="23" spans="1:34" ht="14.25" customHeight="1">
      <c r="A23" s="56"/>
      <c r="B23" s="56"/>
      <c r="C23" s="57"/>
      <c r="D23" s="61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63"/>
      <c r="Q23" s="63"/>
      <c r="R23" s="63"/>
      <c r="S23" s="56"/>
      <c r="T23" s="56"/>
      <c r="U23" s="56"/>
      <c r="V23" s="56"/>
      <c r="W23" s="56"/>
      <c r="X23" s="56"/>
      <c r="Y23" s="56"/>
      <c r="Z23" s="64"/>
      <c r="AA23" s="60"/>
      <c r="AB23" s="56"/>
      <c r="AC23" s="56"/>
      <c r="AD23" s="56"/>
      <c r="AE23" s="60"/>
      <c r="AF23" s="60"/>
      <c r="AG23" s="56"/>
      <c r="AH23" s="56"/>
    </row>
    <row r="24" spans="1:34" ht="14.25" customHeight="1">
      <c r="A24" s="56"/>
      <c r="B24" s="56"/>
      <c r="C24" s="57"/>
      <c r="D24" s="61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60"/>
      <c r="AB24" s="56"/>
      <c r="AC24" s="56"/>
      <c r="AD24" s="56"/>
      <c r="AE24" s="60"/>
      <c r="AF24" s="60"/>
      <c r="AG24" s="56"/>
      <c r="AH24" s="56"/>
    </row>
    <row r="25" spans="1:34" ht="14.25" customHeight="1">
      <c r="A25" s="56"/>
      <c r="B25" s="56"/>
      <c r="C25" s="57"/>
      <c r="D25" s="58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64"/>
      <c r="AA25" s="56"/>
      <c r="AB25" s="56"/>
      <c r="AC25" s="56"/>
      <c r="AD25" s="56"/>
      <c r="AE25" s="56"/>
      <c r="AF25" s="56"/>
      <c r="AG25" s="56"/>
      <c r="AH25" s="56"/>
    </row>
    <row r="26" spans="1:34" ht="14.25" customHeight="1">
      <c r="A26" s="56"/>
      <c r="B26" s="56"/>
      <c r="C26" s="57"/>
      <c r="D26" s="58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64"/>
      <c r="AA26" s="56"/>
      <c r="AB26" s="56"/>
      <c r="AC26" s="56"/>
      <c r="AD26" s="56"/>
      <c r="AE26" s="56"/>
      <c r="AF26" s="56"/>
      <c r="AG26" s="56"/>
      <c r="AH26" s="56"/>
    </row>
    <row r="27" spans="1:34" ht="33.75" customHeight="1">
      <c r="A27" s="56"/>
      <c r="B27" s="56"/>
      <c r="C27" s="57"/>
      <c r="D27" s="58" t="s">
        <v>73</v>
      </c>
      <c r="E27" s="56"/>
      <c r="F27" s="56"/>
      <c r="G27" s="56"/>
      <c r="H27" s="56"/>
      <c r="I27" s="56"/>
      <c r="J27" s="56"/>
      <c r="K27" s="56"/>
      <c r="L27" s="58"/>
      <c r="M27" s="58"/>
      <c r="N27" s="56"/>
      <c r="O27" s="58" t="s">
        <v>74</v>
      </c>
      <c r="P27" s="58"/>
      <c r="Q27" s="58"/>
      <c r="R27" s="58"/>
      <c r="S27" s="58" t="s">
        <v>75</v>
      </c>
      <c r="T27" s="58"/>
      <c r="U27" s="58"/>
      <c r="V27" s="58"/>
      <c r="W27" s="58"/>
      <c r="X27" s="58"/>
      <c r="Y27" s="58" t="s">
        <v>76</v>
      </c>
      <c r="Z27" s="58"/>
      <c r="AA27" s="56"/>
      <c r="AB27" s="58"/>
      <c r="AC27" s="58"/>
      <c r="AD27" s="58"/>
      <c r="AE27" s="56"/>
      <c r="AF27" s="56"/>
      <c r="AG27" s="56"/>
      <c r="AH27" s="58"/>
    </row>
    <row r="28" spans="1:34" ht="36" customHeight="1">
      <c r="A28" s="56"/>
      <c r="B28" s="56"/>
      <c r="C28" s="57"/>
      <c r="D28" s="58" t="s">
        <v>77</v>
      </c>
      <c r="E28" s="56"/>
      <c r="F28" s="56"/>
      <c r="G28" s="56"/>
      <c r="H28" s="56"/>
      <c r="I28" s="56"/>
      <c r="J28" s="56"/>
      <c r="K28" s="56"/>
      <c r="L28" s="58"/>
      <c r="M28" s="58"/>
      <c r="N28" s="56"/>
      <c r="O28" s="58" t="s">
        <v>78</v>
      </c>
      <c r="P28" s="58"/>
      <c r="Q28" s="58"/>
      <c r="R28" s="58"/>
      <c r="S28" s="58" t="s">
        <v>79</v>
      </c>
      <c r="T28" s="58"/>
      <c r="U28" s="58"/>
      <c r="V28" s="58"/>
      <c r="W28" s="58"/>
      <c r="X28" s="58"/>
      <c r="Y28" s="58" t="s">
        <v>80</v>
      </c>
      <c r="Z28" s="59"/>
      <c r="AA28" s="56"/>
      <c r="AB28" s="58"/>
      <c r="AC28" s="58"/>
      <c r="AD28" s="58"/>
      <c r="AE28" s="56"/>
      <c r="AF28" s="56"/>
      <c r="AG28" s="56"/>
      <c r="AH28" s="58"/>
    </row>
    <row r="29" spans="1:34" ht="14.25" customHeight="1">
      <c r="A29" s="22"/>
      <c r="B29" s="22"/>
      <c r="C29" s="23"/>
      <c r="D29" s="22"/>
      <c r="E29" s="22"/>
      <c r="F29" s="24"/>
      <c r="G29" s="24"/>
      <c r="H29" s="24"/>
      <c r="I29" s="24"/>
      <c r="J29" s="24"/>
      <c r="K29" s="24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</row>
    <row r="30" spans="1:34" ht="14.25" customHeight="1">
      <c r="A30" s="22"/>
      <c r="B30" s="22"/>
      <c r="C30" s="23"/>
      <c r="D30" s="22"/>
      <c r="E30" s="22"/>
      <c r="F30" s="24"/>
      <c r="G30" s="24"/>
      <c r="H30" s="24"/>
      <c r="I30" s="24"/>
      <c r="J30" s="24"/>
      <c r="K30" s="24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ht="14.25" customHeight="1">
      <c r="A31" s="22"/>
      <c r="B31" s="22"/>
      <c r="C31" s="23"/>
      <c r="D31" s="22"/>
      <c r="E31" s="22"/>
      <c r="F31" s="24"/>
      <c r="G31" s="24"/>
      <c r="H31" s="24"/>
      <c r="I31" s="24"/>
      <c r="J31" s="24"/>
      <c r="K31" s="24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 spans="1:34" ht="14.25" customHeight="1">
      <c r="A32" s="22"/>
      <c r="B32" s="22"/>
      <c r="C32" s="23"/>
      <c r="D32" s="22"/>
      <c r="E32" s="22"/>
      <c r="F32" s="24"/>
      <c r="G32" s="24"/>
      <c r="H32" s="24"/>
      <c r="I32" s="24"/>
      <c r="J32" s="24"/>
      <c r="K32" s="24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 spans="1:34" ht="14.25" customHeight="1">
      <c r="A33" s="22"/>
      <c r="B33" s="22"/>
      <c r="C33" s="23"/>
      <c r="D33" s="22"/>
      <c r="E33" s="22"/>
      <c r="F33" s="24"/>
      <c r="G33" s="24"/>
      <c r="H33" s="24"/>
      <c r="I33" s="24"/>
      <c r="J33" s="24"/>
      <c r="K33" s="24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 spans="1:34" ht="14.25" customHeight="1">
      <c r="A34" s="22"/>
      <c r="B34" s="22"/>
      <c r="C34" s="23"/>
      <c r="D34" s="22"/>
      <c r="E34" s="22"/>
      <c r="F34" s="24"/>
      <c r="G34" s="24"/>
      <c r="H34" s="24"/>
      <c r="I34" s="24"/>
      <c r="J34" s="24"/>
      <c r="K34" s="24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ht="14.25" customHeight="1">
      <c r="A35" s="22"/>
      <c r="B35" s="22"/>
      <c r="C35" s="23"/>
      <c r="D35" s="22"/>
      <c r="E35" s="22"/>
      <c r="F35" s="24"/>
      <c r="G35" s="24"/>
      <c r="H35" s="24"/>
      <c r="I35" s="24"/>
      <c r="J35" s="24"/>
      <c r="K35" s="2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 ht="14.25" customHeight="1">
      <c r="A36" s="22"/>
      <c r="B36" s="22"/>
      <c r="C36" s="23"/>
      <c r="D36" s="22"/>
      <c r="E36" s="22"/>
      <c r="F36" s="24"/>
      <c r="G36" s="24"/>
      <c r="H36" s="24"/>
      <c r="I36" s="24"/>
      <c r="J36" s="24"/>
      <c r="K36" s="24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 spans="1:34" ht="14.25" customHeight="1">
      <c r="A37" s="22"/>
      <c r="B37" s="22"/>
      <c r="C37" s="23"/>
      <c r="D37" s="22"/>
      <c r="E37" s="22"/>
      <c r="F37" s="24"/>
      <c r="G37" s="24"/>
      <c r="H37" s="24"/>
      <c r="I37" s="24"/>
      <c r="J37" s="24"/>
      <c r="K37" s="2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 spans="1:34" ht="14.25" customHeight="1">
      <c r="A38" s="22"/>
      <c r="B38" s="22"/>
      <c r="C38" s="23"/>
      <c r="D38" s="22"/>
      <c r="E38" s="22"/>
      <c r="F38" s="24"/>
      <c r="G38" s="24"/>
      <c r="H38" s="24"/>
      <c r="I38" s="24"/>
      <c r="J38" s="24"/>
      <c r="K38" s="24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 spans="1:34" ht="14.25" customHeight="1">
      <c r="A39" s="22"/>
      <c r="B39" s="22"/>
      <c r="C39" s="23"/>
      <c r="D39" s="22"/>
      <c r="E39" s="22"/>
      <c r="F39" s="24"/>
      <c r="G39" s="24"/>
      <c r="H39" s="24"/>
      <c r="I39" s="24"/>
      <c r="J39" s="24"/>
      <c r="K39" s="2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 ht="14.25" customHeight="1">
      <c r="A40" s="22"/>
      <c r="B40" s="22"/>
      <c r="C40" s="23"/>
      <c r="D40" s="22"/>
      <c r="E40" s="22"/>
      <c r="F40" s="24"/>
      <c r="G40" s="24"/>
      <c r="H40" s="24"/>
      <c r="I40" s="24"/>
      <c r="J40" s="24"/>
      <c r="K40" s="24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 spans="1:34" ht="14.25" customHeight="1">
      <c r="A41" s="22"/>
      <c r="B41" s="22"/>
      <c r="C41" s="23"/>
      <c r="D41" s="22"/>
      <c r="E41" s="22"/>
      <c r="F41" s="24"/>
      <c r="G41" s="24"/>
      <c r="H41" s="24"/>
      <c r="I41" s="24"/>
      <c r="J41" s="24"/>
      <c r="K41" s="2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 spans="1:34" ht="14.25" customHeight="1">
      <c r="A42" s="22"/>
      <c r="B42" s="22"/>
      <c r="C42" s="23"/>
      <c r="D42" s="22"/>
      <c r="E42" s="22"/>
      <c r="F42" s="24"/>
      <c r="G42" s="24"/>
      <c r="H42" s="24"/>
      <c r="I42" s="24"/>
      <c r="J42" s="24"/>
      <c r="K42" s="24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 spans="1:34" ht="14.25" customHeight="1">
      <c r="A43" s="22"/>
      <c r="B43" s="22"/>
      <c r="C43" s="23"/>
      <c r="D43" s="22"/>
      <c r="E43" s="22"/>
      <c r="F43" s="24"/>
      <c r="G43" s="24"/>
      <c r="H43" s="24"/>
      <c r="I43" s="24"/>
      <c r="J43" s="24"/>
      <c r="K43" s="2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 spans="1:34" ht="14.25" customHeight="1">
      <c r="A44" s="22"/>
      <c r="B44" s="22"/>
      <c r="C44" s="23"/>
      <c r="D44" s="22"/>
      <c r="E44" s="22"/>
      <c r="F44" s="24"/>
      <c r="G44" s="24"/>
      <c r="H44" s="24"/>
      <c r="I44" s="24"/>
      <c r="J44" s="24"/>
      <c r="K44" s="24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 spans="1:34" ht="14.25" customHeight="1">
      <c r="A45" s="22"/>
      <c r="B45" s="22"/>
      <c r="C45" s="23"/>
      <c r="D45" s="22"/>
      <c r="E45" s="22"/>
      <c r="F45" s="24"/>
      <c r="G45" s="24"/>
      <c r="H45" s="24"/>
      <c r="I45" s="24"/>
      <c r="J45" s="24"/>
      <c r="K45" s="2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 spans="1:34" ht="14.25" customHeight="1">
      <c r="A46" s="22"/>
      <c r="B46" s="22"/>
      <c r="C46" s="23"/>
      <c r="D46" s="22"/>
      <c r="E46" s="22"/>
      <c r="F46" s="24"/>
      <c r="G46" s="24"/>
      <c r="H46" s="24"/>
      <c r="I46" s="24"/>
      <c r="J46" s="24"/>
      <c r="K46" s="24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ht="14.25" customHeight="1">
      <c r="A47" s="22"/>
      <c r="B47" s="22"/>
      <c r="C47" s="23"/>
      <c r="D47" s="22"/>
      <c r="E47" s="22"/>
      <c r="F47" s="24"/>
      <c r="G47" s="24"/>
      <c r="H47" s="24"/>
      <c r="I47" s="24"/>
      <c r="J47" s="24"/>
      <c r="K47" s="2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 ht="14.25" customHeight="1">
      <c r="A48" s="22"/>
      <c r="B48" s="22"/>
      <c r="C48" s="23"/>
      <c r="D48" s="22"/>
      <c r="E48" s="22"/>
      <c r="F48" s="24"/>
      <c r="G48" s="24"/>
      <c r="H48" s="24"/>
      <c r="I48" s="24"/>
      <c r="J48" s="24"/>
      <c r="K48" s="24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 spans="1:34" ht="14.25" customHeight="1">
      <c r="A49" s="22"/>
      <c r="B49" s="22"/>
      <c r="C49" s="23"/>
      <c r="D49" s="22"/>
      <c r="E49" s="22"/>
      <c r="F49" s="24"/>
      <c r="G49" s="24"/>
      <c r="H49" s="24"/>
      <c r="I49" s="24"/>
      <c r="J49" s="24"/>
      <c r="K49" s="2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 spans="1:34" ht="14.25" customHeight="1">
      <c r="A50" s="22"/>
      <c r="B50" s="22"/>
      <c r="C50" s="23"/>
      <c r="D50" s="22"/>
      <c r="E50" s="22"/>
      <c r="F50" s="24"/>
      <c r="G50" s="24"/>
      <c r="H50" s="24"/>
      <c r="I50" s="24"/>
      <c r="J50" s="24"/>
      <c r="K50" s="24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 spans="1:34" ht="14.25" customHeight="1">
      <c r="A51" s="22"/>
      <c r="B51" s="22"/>
      <c r="C51" s="23"/>
      <c r="D51" s="22"/>
      <c r="E51" s="22"/>
      <c r="F51" s="24"/>
      <c r="G51" s="24"/>
      <c r="H51" s="24"/>
      <c r="I51" s="24"/>
      <c r="J51" s="24"/>
      <c r="K51" s="2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 spans="1:34" ht="14.25" customHeight="1">
      <c r="A52" s="22"/>
      <c r="B52" s="22"/>
      <c r="C52" s="23"/>
      <c r="D52" s="22"/>
      <c r="E52" s="22"/>
      <c r="F52" s="24"/>
      <c r="G52" s="24"/>
      <c r="H52" s="24"/>
      <c r="I52" s="24"/>
      <c r="J52" s="24"/>
      <c r="K52" s="24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ht="14.25" customHeight="1">
      <c r="A53" s="22"/>
      <c r="B53" s="22"/>
      <c r="C53" s="23"/>
      <c r="D53" s="22"/>
      <c r="E53" s="22"/>
      <c r="F53" s="24"/>
      <c r="G53" s="24"/>
      <c r="H53" s="24"/>
      <c r="I53" s="24"/>
      <c r="J53" s="24"/>
      <c r="K53" s="2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 spans="1:34" ht="14.25" customHeight="1">
      <c r="A54" s="22"/>
      <c r="B54" s="22"/>
      <c r="C54" s="23"/>
      <c r="D54" s="22"/>
      <c r="E54" s="22"/>
      <c r="F54" s="24"/>
      <c r="G54" s="24"/>
      <c r="H54" s="24"/>
      <c r="I54" s="24"/>
      <c r="J54" s="24"/>
      <c r="K54" s="24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 spans="1:34" ht="14.25" customHeight="1">
      <c r="A55" s="22"/>
      <c r="B55" s="22"/>
      <c r="C55" s="23"/>
      <c r="D55" s="22"/>
      <c r="E55" s="22"/>
      <c r="F55" s="24"/>
      <c r="G55" s="24"/>
      <c r="H55" s="24"/>
      <c r="I55" s="24"/>
      <c r="J55" s="24"/>
      <c r="K55" s="2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 spans="1:34" ht="14.25" customHeight="1">
      <c r="A56" s="22"/>
      <c r="B56" s="22"/>
      <c r="C56" s="23"/>
      <c r="D56" s="22"/>
      <c r="E56" s="22"/>
      <c r="F56" s="24"/>
      <c r="G56" s="24"/>
      <c r="H56" s="24"/>
      <c r="I56" s="24"/>
      <c r="J56" s="24"/>
      <c r="K56" s="24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 spans="1:34" ht="14.25" customHeight="1">
      <c r="A57" s="22"/>
      <c r="B57" s="22"/>
      <c r="C57" s="23"/>
      <c r="D57" s="22"/>
      <c r="E57" s="22"/>
      <c r="F57" s="24"/>
      <c r="G57" s="24"/>
      <c r="H57" s="24"/>
      <c r="I57" s="24"/>
      <c r="J57" s="24"/>
      <c r="K57" s="2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 spans="1:34" ht="14.25" customHeight="1">
      <c r="A58" s="22"/>
      <c r="B58" s="22"/>
      <c r="C58" s="23"/>
      <c r="D58" s="22"/>
      <c r="E58" s="22"/>
      <c r="F58" s="24"/>
      <c r="G58" s="24"/>
      <c r="H58" s="24"/>
      <c r="I58" s="24"/>
      <c r="J58" s="24"/>
      <c r="K58" s="24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 spans="1:34" ht="14.25" customHeight="1">
      <c r="A59" s="22"/>
      <c r="B59" s="22"/>
      <c r="C59" s="23"/>
      <c r="D59" s="22"/>
      <c r="E59" s="22"/>
      <c r="F59" s="24"/>
      <c r="G59" s="24"/>
      <c r="H59" s="24"/>
      <c r="I59" s="24"/>
      <c r="J59" s="24"/>
      <c r="K59" s="2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 spans="1:34" ht="14.25" customHeight="1">
      <c r="A60" s="22"/>
      <c r="B60" s="22"/>
      <c r="C60" s="23"/>
      <c r="D60" s="22"/>
      <c r="E60" s="22"/>
      <c r="F60" s="24"/>
      <c r="G60" s="24"/>
      <c r="H60" s="24"/>
      <c r="I60" s="24"/>
      <c r="J60" s="24"/>
      <c r="K60" s="24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 spans="1:34" ht="14.25" customHeight="1">
      <c r="A61" s="22"/>
      <c r="B61" s="22"/>
      <c r="C61" s="23"/>
      <c r="D61" s="22"/>
      <c r="E61" s="22"/>
      <c r="F61" s="24"/>
      <c r="G61" s="24"/>
      <c r="H61" s="24"/>
      <c r="I61" s="24"/>
      <c r="J61" s="24"/>
      <c r="K61" s="2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 spans="1:34" ht="14.25" customHeight="1">
      <c r="A62" s="22"/>
      <c r="B62" s="22"/>
      <c r="C62" s="23"/>
      <c r="D62" s="22"/>
      <c r="E62" s="22"/>
      <c r="F62" s="24"/>
      <c r="G62" s="24"/>
      <c r="H62" s="24"/>
      <c r="I62" s="24"/>
      <c r="J62" s="24"/>
      <c r="K62" s="24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 spans="1:34" ht="14.25" customHeight="1">
      <c r="A63" s="22"/>
      <c r="B63" s="22"/>
      <c r="C63" s="23"/>
      <c r="D63" s="22"/>
      <c r="E63" s="22"/>
      <c r="F63" s="24"/>
      <c r="G63" s="24"/>
      <c r="H63" s="24"/>
      <c r="I63" s="24"/>
      <c r="J63" s="24"/>
      <c r="K63" s="24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 spans="1:34" ht="14.25" customHeight="1">
      <c r="A64" s="22"/>
      <c r="B64" s="22"/>
      <c r="C64" s="23"/>
      <c r="D64" s="22"/>
      <c r="E64" s="22"/>
      <c r="F64" s="24"/>
      <c r="G64" s="24"/>
      <c r="H64" s="24"/>
      <c r="I64" s="24"/>
      <c r="J64" s="24"/>
      <c r="K64" s="24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 spans="1:34" ht="14.25" customHeight="1">
      <c r="A65" s="22"/>
      <c r="B65" s="22"/>
      <c r="C65" s="23"/>
      <c r="D65" s="22"/>
      <c r="E65" s="22"/>
      <c r="F65" s="24"/>
      <c r="G65" s="24"/>
      <c r="H65" s="24"/>
      <c r="I65" s="24"/>
      <c r="J65" s="24"/>
      <c r="K65" s="24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 spans="1:34" ht="14.25" customHeight="1">
      <c r="A66" s="22"/>
      <c r="B66" s="22"/>
      <c r="C66" s="23"/>
      <c r="D66" s="22"/>
      <c r="E66" s="22"/>
      <c r="F66" s="24"/>
      <c r="G66" s="24"/>
      <c r="H66" s="24"/>
      <c r="I66" s="24"/>
      <c r="J66" s="24"/>
      <c r="K66" s="24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 spans="1:34" ht="14.25" customHeight="1">
      <c r="A67" s="22"/>
      <c r="B67" s="22"/>
      <c r="C67" s="23"/>
      <c r="D67" s="22"/>
      <c r="E67" s="22"/>
      <c r="F67" s="24"/>
      <c r="G67" s="24"/>
      <c r="H67" s="24"/>
      <c r="I67" s="24"/>
      <c r="J67" s="24"/>
      <c r="K67" s="24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 spans="1:34" ht="14.25" customHeight="1">
      <c r="A68" s="22"/>
      <c r="B68" s="22"/>
      <c r="C68" s="23"/>
      <c r="D68" s="22"/>
      <c r="E68" s="22"/>
      <c r="F68" s="24"/>
      <c r="G68" s="24"/>
      <c r="H68" s="24"/>
      <c r="I68" s="24"/>
      <c r="J68" s="24"/>
      <c r="K68" s="24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 spans="1:34" ht="14.25" customHeight="1">
      <c r="A69" s="22"/>
      <c r="B69" s="22"/>
      <c r="C69" s="23"/>
      <c r="D69" s="22"/>
      <c r="E69" s="22"/>
      <c r="F69" s="24"/>
      <c r="G69" s="24"/>
      <c r="H69" s="24"/>
      <c r="I69" s="24"/>
      <c r="J69" s="24"/>
      <c r="K69" s="24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 spans="1:34" ht="14.25" customHeight="1">
      <c r="A70" s="22"/>
      <c r="B70" s="22"/>
      <c r="C70" s="23"/>
      <c r="D70" s="22"/>
      <c r="E70" s="22"/>
      <c r="F70" s="24"/>
      <c r="G70" s="24"/>
      <c r="H70" s="24"/>
      <c r="I70" s="24"/>
      <c r="J70" s="24"/>
      <c r="K70" s="24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 spans="1:34" ht="14.25" customHeight="1">
      <c r="A71" s="22"/>
      <c r="B71" s="22"/>
      <c r="C71" s="23"/>
      <c r="D71" s="22"/>
      <c r="E71" s="22"/>
      <c r="F71" s="24"/>
      <c r="G71" s="24"/>
      <c r="H71" s="24"/>
      <c r="I71" s="24"/>
      <c r="J71" s="24"/>
      <c r="K71" s="24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 spans="1:34" ht="14.25" customHeight="1">
      <c r="A72" s="22"/>
      <c r="B72" s="22"/>
      <c r="C72" s="23"/>
      <c r="D72" s="22"/>
      <c r="E72" s="22"/>
      <c r="F72" s="24"/>
      <c r="G72" s="24"/>
      <c r="H72" s="24"/>
      <c r="I72" s="24"/>
      <c r="J72" s="24"/>
      <c r="K72" s="24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 spans="1:34" ht="14.25" customHeight="1">
      <c r="A73" s="22"/>
      <c r="B73" s="22"/>
      <c r="C73" s="23"/>
      <c r="D73" s="22"/>
      <c r="E73" s="22"/>
      <c r="F73" s="24"/>
      <c r="G73" s="24"/>
      <c r="H73" s="24"/>
      <c r="I73" s="24"/>
      <c r="J73" s="24"/>
      <c r="K73" s="24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 spans="1:34" ht="14.25" customHeight="1">
      <c r="A74" s="22"/>
      <c r="B74" s="22"/>
      <c r="C74" s="23"/>
      <c r="D74" s="22"/>
      <c r="E74" s="22"/>
      <c r="F74" s="24"/>
      <c r="G74" s="24"/>
      <c r="H74" s="24"/>
      <c r="I74" s="24"/>
      <c r="J74" s="24"/>
      <c r="K74" s="24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 spans="1:34" ht="14.25" customHeight="1">
      <c r="A75" s="22"/>
      <c r="B75" s="22"/>
      <c r="C75" s="23"/>
      <c r="D75" s="22"/>
      <c r="E75" s="22"/>
      <c r="F75" s="24"/>
      <c r="G75" s="24"/>
      <c r="H75" s="24"/>
      <c r="I75" s="24"/>
      <c r="J75" s="24"/>
      <c r="K75" s="24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 spans="1:34" ht="14.25" customHeight="1">
      <c r="A76" s="22"/>
      <c r="B76" s="22"/>
      <c r="C76" s="23"/>
      <c r="D76" s="22"/>
      <c r="E76" s="22"/>
      <c r="F76" s="24"/>
      <c r="G76" s="24"/>
      <c r="H76" s="24"/>
      <c r="I76" s="24"/>
      <c r="J76" s="24"/>
      <c r="K76" s="24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 spans="1:34" ht="14.25" customHeight="1">
      <c r="A77" s="22"/>
      <c r="B77" s="22"/>
      <c r="C77" s="23"/>
      <c r="D77" s="22"/>
      <c r="E77" s="22"/>
      <c r="F77" s="24"/>
      <c r="G77" s="24"/>
      <c r="H77" s="24"/>
      <c r="I77" s="24"/>
      <c r="J77" s="24"/>
      <c r="K77" s="24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 spans="1:34" ht="14.25" customHeight="1">
      <c r="A78" s="22"/>
      <c r="B78" s="22"/>
      <c r="C78" s="23"/>
      <c r="D78" s="22"/>
      <c r="E78" s="22"/>
      <c r="F78" s="24"/>
      <c r="G78" s="24"/>
      <c r="H78" s="24"/>
      <c r="I78" s="24"/>
      <c r="J78" s="24"/>
      <c r="K78" s="24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 spans="1:34" ht="14.25" customHeight="1">
      <c r="A79" s="22"/>
      <c r="B79" s="22"/>
      <c r="C79" s="23"/>
      <c r="D79" s="22"/>
      <c r="E79" s="22"/>
      <c r="F79" s="24"/>
      <c r="G79" s="24"/>
      <c r="H79" s="24"/>
      <c r="I79" s="24"/>
      <c r="J79" s="24"/>
      <c r="K79" s="24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 spans="1:34" ht="14.25" customHeight="1">
      <c r="A80" s="22"/>
      <c r="B80" s="22"/>
      <c r="C80" s="23"/>
      <c r="D80" s="22"/>
      <c r="E80" s="22"/>
      <c r="F80" s="24"/>
      <c r="G80" s="24"/>
      <c r="H80" s="24"/>
      <c r="I80" s="24"/>
      <c r="J80" s="24"/>
      <c r="K80" s="24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 spans="1:34" ht="14.25" customHeight="1">
      <c r="A81" s="22"/>
      <c r="B81" s="22"/>
      <c r="C81" s="23"/>
      <c r="D81" s="22"/>
      <c r="E81" s="22"/>
      <c r="F81" s="24"/>
      <c r="G81" s="24"/>
      <c r="H81" s="24"/>
      <c r="I81" s="24"/>
      <c r="J81" s="24"/>
      <c r="K81" s="24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 spans="1:34" ht="14.25" customHeight="1">
      <c r="A82" s="22"/>
      <c r="B82" s="22"/>
      <c r="C82" s="23"/>
      <c r="D82" s="22"/>
      <c r="E82" s="22"/>
      <c r="F82" s="24"/>
      <c r="G82" s="24"/>
      <c r="H82" s="24"/>
      <c r="I82" s="24"/>
      <c r="J82" s="24"/>
      <c r="K82" s="24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 spans="1:34" ht="14.25" customHeight="1">
      <c r="A83" s="22"/>
      <c r="B83" s="22"/>
      <c r="C83" s="23"/>
      <c r="D83" s="22"/>
      <c r="E83" s="22"/>
      <c r="F83" s="24"/>
      <c r="G83" s="24"/>
      <c r="H83" s="24"/>
      <c r="I83" s="24"/>
      <c r="J83" s="24"/>
      <c r="K83" s="24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 spans="1:34" ht="14.25" customHeight="1">
      <c r="A84" s="22"/>
      <c r="B84" s="22"/>
      <c r="C84" s="23"/>
      <c r="D84" s="22"/>
      <c r="E84" s="22"/>
      <c r="F84" s="24"/>
      <c r="G84" s="24"/>
      <c r="H84" s="24"/>
      <c r="I84" s="24"/>
      <c r="J84" s="24"/>
      <c r="K84" s="24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 spans="1:34" ht="14.25" customHeight="1">
      <c r="A85" s="22"/>
      <c r="B85" s="22"/>
      <c r="C85" s="23"/>
      <c r="D85" s="22"/>
      <c r="E85" s="22"/>
      <c r="F85" s="24"/>
      <c r="G85" s="24"/>
      <c r="H85" s="24"/>
      <c r="I85" s="24"/>
      <c r="J85" s="24"/>
      <c r="K85" s="24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 spans="1:34" ht="14.25" customHeight="1">
      <c r="A86" s="22"/>
      <c r="B86" s="22"/>
      <c r="C86" s="23"/>
      <c r="D86" s="22"/>
      <c r="E86" s="22"/>
      <c r="F86" s="24"/>
      <c r="G86" s="24"/>
      <c r="H86" s="24"/>
      <c r="I86" s="24"/>
      <c r="J86" s="24"/>
      <c r="K86" s="24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 spans="1:34" ht="14.25" customHeight="1">
      <c r="A87" s="22"/>
      <c r="B87" s="22"/>
      <c r="C87" s="23"/>
      <c r="D87" s="22"/>
      <c r="E87" s="22"/>
      <c r="F87" s="24"/>
      <c r="G87" s="24"/>
      <c r="H87" s="24"/>
      <c r="I87" s="24"/>
      <c r="J87" s="24"/>
      <c r="K87" s="24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 spans="1:34" ht="14.25" customHeight="1">
      <c r="A88" s="22"/>
      <c r="B88" s="22"/>
      <c r="C88" s="23"/>
      <c r="D88" s="22"/>
      <c r="E88" s="22"/>
      <c r="F88" s="24"/>
      <c r="G88" s="24"/>
      <c r="H88" s="24"/>
      <c r="I88" s="24"/>
      <c r="J88" s="24"/>
      <c r="K88" s="24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 spans="1:34" ht="14.25" customHeight="1">
      <c r="A89" s="22"/>
      <c r="B89" s="22"/>
      <c r="C89" s="23"/>
      <c r="D89" s="22"/>
      <c r="E89" s="22"/>
      <c r="F89" s="24"/>
      <c r="G89" s="24"/>
      <c r="H89" s="24"/>
      <c r="I89" s="24"/>
      <c r="J89" s="24"/>
      <c r="K89" s="24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 spans="1:34" ht="14.25" customHeight="1">
      <c r="A90" s="22"/>
      <c r="B90" s="22"/>
      <c r="C90" s="23"/>
      <c r="D90" s="22"/>
      <c r="E90" s="22"/>
      <c r="F90" s="24"/>
      <c r="G90" s="24"/>
      <c r="H90" s="24"/>
      <c r="I90" s="24"/>
      <c r="J90" s="24"/>
      <c r="K90" s="24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 spans="1:34" ht="14.25" customHeight="1">
      <c r="A91" s="22"/>
      <c r="B91" s="22"/>
      <c r="C91" s="23"/>
      <c r="D91" s="22"/>
      <c r="E91" s="22"/>
      <c r="F91" s="24"/>
      <c r="G91" s="24"/>
      <c r="H91" s="24"/>
      <c r="I91" s="24"/>
      <c r="J91" s="24"/>
      <c r="K91" s="24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 spans="1:34" ht="14.25" customHeight="1">
      <c r="A92" s="22"/>
      <c r="B92" s="22"/>
      <c r="C92" s="23"/>
      <c r="D92" s="22"/>
      <c r="E92" s="22"/>
      <c r="F92" s="24"/>
      <c r="G92" s="24"/>
      <c r="H92" s="24"/>
      <c r="I92" s="24"/>
      <c r="J92" s="24"/>
      <c r="K92" s="24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 spans="1:34" ht="14.25" customHeight="1">
      <c r="A93" s="22"/>
      <c r="B93" s="22"/>
      <c r="C93" s="23"/>
      <c r="D93" s="22"/>
      <c r="E93" s="22"/>
      <c r="F93" s="24"/>
      <c r="G93" s="24"/>
      <c r="H93" s="24"/>
      <c r="I93" s="24"/>
      <c r="J93" s="24"/>
      <c r="K93" s="24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 spans="1:34" ht="14.25" customHeight="1">
      <c r="A94" s="22"/>
      <c r="B94" s="22"/>
      <c r="C94" s="23"/>
      <c r="D94" s="22"/>
      <c r="E94" s="22"/>
      <c r="F94" s="24"/>
      <c r="G94" s="24"/>
      <c r="H94" s="24"/>
      <c r="I94" s="24"/>
      <c r="J94" s="24"/>
      <c r="K94" s="24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ht="14.25" customHeight="1">
      <c r="A95" s="22"/>
      <c r="B95" s="22"/>
      <c r="C95" s="23"/>
      <c r="D95" s="22"/>
      <c r="E95" s="22"/>
      <c r="F95" s="24"/>
      <c r="G95" s="24"/>
      <c r="H95" s="24"/>
      <c r="I95" s="24"/>
      <c r="J95" s="24"/>
      <c r="K95" s="24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 spans="1:34" ht="14.25" customHeight="1">
      <c r="A96" s="22"/>
      <c r="B96" s="22"/>
      <c r="C96" s="23"/>
      <c r="D96" s="22"/>
      <c r="E96" s="22"/>
      <c r="F96" s="24"/>
      <c r="G96" s="24"/>
      <c r="H96" s="24"/>
      <c r="I96" s="24"/>
      <c r="J96" s="24"/>
      <c r="K96" s="24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 spans="1:34" ht="14.25" customHeight="1">
      <c r="A97" s="22"/>
      <c r="B97" s="22"/>
      <c r="C97" s="23"/>
      <c r="D97" s="22"/>
      <c r="E97" s="22"/>
      <c r="F97" s="24"/>
      <c r="G97" s="24"/>
      <c r="H97" s="24"/>
      <c r="I97" s="24"/>
      <c r="J97" s="24"/>
      <c r="K97" s="24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 spans="1:34" ht="14.25" customHeight="1">
      <c r="A98" s="22"/>
      <c r="B98" s="22"/>
      <c r="C98" s="23"/>
      <c r="D98" s="22"/>
      <c r="E98" s="22"/>
      <c r="F98" s="24"/>
      <c r="G98" s="24"/>
      <c r="H98" s="24"/>
      <c r="I98" s="24"/>
      <c r="J98" s="24"/>
      <c r="K98" s="24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 spans="1:34" ht="14.25" customHeight="1">
      <c r="A99" s="22"/>
      <c r="B99" s="22"/>
      <c r="C99" s="23"/>
      <c r="D99" s="22"/>
      <c r="E99" s="22"/>
      <c r="F99" s="24"/>
      <c r="G99" s="24"/>
      <c r="H99" s="24"/>
      <c r="I99" s="24"/>
      <c r="J99" s="24"/>
      <c r="K99" s="24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 spans="1:34" ht="14.25" customHeight="1">
      <c r="A100" s="22"/>
      <c r="B100" s="22"/>
      <c r="C100" s="23"/>
      <c r="D100" s="22"/>
      <c r="E100" s="22"/>
      <c r="F100" s="24"/>
      <c r="G100" s="24"/>
      <c r="H100" s="24"/>
      <c r="I100" s="24"/>
      <c r="J100" s="24"/>
      <c r="K100" s="24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</sheetData>
  <mergeCells count="1">
    <mergeCell ref="B16:K16"/>
  </mergeCells>
  <pageMargins left="0.25" right="0.25" top="0.75" bottom="0.75" header="0" footer="0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2020-08-28T07:10:00Z</cp:lastPrinted>
  <dcterms:created xsi:type="dcterms:W3CDTF">2019-01-29T05:57:00Z</dcterms:created>
  <dcterms:modified xsi:type="dcterms:W3CDTF">2026-09-17T06:57:55Z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1057-11.2.0.11440</vt:lpwstr>
  </property>
  <property fmtid="{D5CDD505-2E9C-101B-9397-08002B2CF9AE}" pid="3" name="WorkbookGuid">
    <vt:lpwstr>500ec845-84b3-42cd-a6fc-75b07df9e3ae</vt:lpwstr>
  </property>
  <property fmtid="{D5CDD505-2E9C-101B-9397-08002B2CF9AE}" pid="4" name="ICV">
    <vt:lpwstr>60D2135A4BC14057822C5F90400CD444</vt:lpwstr>
  </property>
</Properties>
</file>